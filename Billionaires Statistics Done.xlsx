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zelahousecoza-my.sharepoint.com/personal/xhanti_jojo_zelahouse_co_za/Documents/Me/Excel/20 day bootcamp/Dashboards/"/>
    </mc:Choice>
  </mc:AlternateContent>
  <xr:revisionPtr revIDLastSave="73" documentId="8_{77071F37-A386-465C-9ED1-5979DCA8CD34}" xr6:coauthVersionLast="47" xr6:coauthVersionMax="47" xr10:uidLastSave="{3AB251A5-E89F-4D6F-B5DB-494527547E77}"/>
  <bookViews>
    <workbookView xWindow="-108" yWindow="-108" windowWidth="23256" windowHeight="12456" activeTab="1" xr2:uid="{00000000-000D-0000-FFFF-FFFF00000000}"/>
  </bookViews>
  <sheets>
    <sheet name="Data" sheetId="1" r:id="rId1"/>
    <sheet name="Basic analysis" sheetId="5" r:id="rId2"/>
    <sheet name="Pivots" sheetId="6" r:id="rId3"/>
    <sheet name="Data backup" sheetId="2" r:id="rId4"/>
  </sheets>
  <definedNames>
    <definedName name="Slicer_category">#N/A</definedName>
    <definedName name="Slicer_gender">#N/A</definedName>
    <definedName name="Slicer_selfMade">#N/A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1" l="1"/>
  <c r="X4" i="1"/>
  <c r="X5" i="1"/>
  <c r="X6" i="1"/>
  <c r="V6" i="1" s="1"/>
  <c r="X7" i="1"/>
  <c r="V7" i="1" s="1"/>
  <c r="X8" i="1"/>
  <c r="V8" i="1" s="1"/>
  <c r="X9" i="1"/>
  <c r="V9" i="1" s="1"/>
  <c r="X10" i="1"/>
  <c r="X11" i="1"/>
  <c r="X12" i="1"/>
  <c r="V12" i="1" s="1"/>
  <c r="X13" i="1"/>
  <c r="V13" i="1" s="1"/>
  <c r="X14" i="1"/>
  <c r="X15" i="1"/>
  <c r="X16" i="1"/>
  <c r="X17" i="1"/>
  <c r="X18" i="1"/>
  <c r="V18" i="1" s="1"/>
  <c r="X19" i="1"/>
  <c r="X20" i="1"/>
  <c r="X21" i="1"/>
  <c r="X22" i="1"/>
  <c r="X23" i="1"/>
  <c r="X24" i="1"/>
  <c r="V24" i="1" s="1"/>
  <c r="X25" i="1"/>
  <c r="V25" i="1" s="1"/>
  <c r="X26" i="1"/>
  <c r="X27" i="1"/>
  <c r="X28" i="1"/>
  <c r="X29" i="1"/>
  <c r="X30" i="1"/>
  <c r="V30" i="1" s="1"/>
  <c r="X31" i="1"/>
  <c r="V31" i="1" s="1"/>
  <c r="X32" i="1"/>
  <c r="V32" i="1" s="1"/>
  <c r="X33" i="1"/>
  <c r="V33" i="1" s="1"/>
  <c r="X34" i="1"/>
  <c r="X35" i="1"/>
  <c r="X36" i="1"/>
  <c r="V36" i="1" s="1"/>
  <c r="X37" i="1"/>
  <c r="V37" i="1" s="1"/>
  <c r="X38" i="1"/>
  <c r="X39" i="1"/>
  <c r="X40" i="1"/>
  <c r="X41" i="1"/>
  <c r="X42" i="1"/>
  <c r="V42" i="1" s="1"/>
  <c r="X43" i="1"/>
  <c r="V43" i="1" s="1"/>
  <c r="X44" i="1"/>
  <c r="V44" i="1" s="1"/>
  <c r="X45" i="1"/>
  <c r="V45" i="1" s="1"/>
  <c r="X46" i="1"/>
  <c r="X47" i="1"/>
  <c r="X48" i="1"/>
  <c r="V48" i="1" s="1"/>
  <c r="X49" i="1"/>
  <c r="V49" i="1" s="1"/>
  <c r="X50" i="1"/>
  <c r="X51" i="1"/>
  <c r="X52" i="1"/>
  <c r="X53" i="1"/>
  <c r="X54" i="1"/>
  <c r="V54" i="1" s="1"/>
  <c r="X55" i="1"/>
  <c r="X56" i="1"/>
  <c r="X57" i="1"/>
  <c r="X58" i="1"/>
  <c r="X59" i="1"/>
  <c r="X60" i="1"/>
  <c r="V60" i="1" s="1"/>
  <c r="X61" i="1"/>
  <c r="V61" i="1" s="1"/>
  <c r="X62" i="1"/>
  <c r="X63" i="1"/>
  <c r="X64" i="1"/>
  <c r="X65" i="1"/>
  <c r="X66" i="1"/>
  <c r="V66" i="1" s="1"/>
  <c r="X67" i="1"/>
  <c r="V67" i="1" s="1"/>
  <c r="X68" i="1"/>
  <c r="V68" i="1" s="1"/>
  <c r="X69" i="1"/>
  <c r="V69" i="1" s="1"/>
  <c r="X70" i="1"/>
  <c r="X71" i="1"/>
  <c r="X72" i="1"/>
  <c r="V72" i="1" s="1"/>
  <c r="X73" i="1"/>
  <c r="V73" i="1" s="1"/>
  <c r="X74" i="1"/>
  <c r="X75" i="1"/>
  <c r="X76" i="1"/>
  <c r="X77" i="1"/>
  <c r="V77" i="1" s="1"/>
  <c r="X78" i="1"/>
  <c r="V78" i="1" s="1"/>
  <c r="X79" i="1"/>
  <c r="V79" i="1" s="1"/>
  <c r="X80" i="1"/>
  <c r="V80" i="1" s="1"/>
  <c r="X81" i="1"/>
  <c r="V81" i="1" s="1"/>
  <c r="X82" i="1"/>
  <c r="X83" i="1"/>
  <c r="X84" i="1"/>
  <c r="V84" i="1" s="1"/>
  <c r="X85" i="1"/>
  <c r="V85" i="1" s="1"/>
  <c r="X86" i="1"/>
  <c r="X87" i="1"/>
  <c r="X88" i="1"/>
  <c r="X89" i="1"/>
  <c r="X90" i="1"/>
  <c r="V90" i="1" s="1"/>
  <c r="X91" i="1"/>
  <c r="V91" i="1" s="1"/>
  <c r="X92" i="1"/>
  <c r="V92" i="1" s="1"/>
  <c r="X93" i="1"/>
  <c r="V93" i="1" s="1"/>
  <c r="X94" i="1"/>
  <c r="X95" i="1"/>
  <c r="X96" i="1"/>
  <c r="V96" i="1" s="1"/>
  <c r="X97" i="1"/>
  <c r="V97" i="1" s="1"/>
  <c r="X98" i="1"/>
  <c r="X99" i="1"/>
  <c r="X100" i="1"/>
  <c r="X101" i="1"/>
  <c r="V101" i="1" s="1"/>
  <c r="X102" i="1"/>
  <c r="V102" i="1" s="1"/>
  <c r="X103" i="1"/>
  <c r="V103" i="1" s="1"/>
  <c r="X104" i="1"/>
  <c r="V104" i="1" s="1"/>
  <c r="X105" i="1"/>
  <c r="V105" i="1" s="1"/>
  <c r="X106" i="1"/>
  <c r="X107" i="1"/>
  <c r="X108" i="1"/>
  <c r="X109" i="1"/>
  <c r="X110" i="1"/>
  <c r="X111" i="1"/>
  <c r="X112" i="1"/>
  <c r="X113" i="1"/>
  <c r="V113" i="1" s="1"/>
  <c r="X114" i="1"/>
  <c r="V114" i="1" s="1"/>
  <c r="X115" i="1"/>
  <c r="V115" i="1" s="1"/>
  <c r="X116" i="1"/>
  <c r="V116" i="1" s="1"/>
  <c r="X117" i="1"/>
  <c r="V117" i="1" s="1"/>
  <c r="X118" i="1"/>
  <c r="X119" i="1"/>
  <c r="X120" i="1"/>
  <c r="V120" i="1" s="1"/>
  <c r="X121" i="1"/>
  <c r="V121" i="1" s="1"/>
  <c r="X122" i="1"/>
  <c r="X123" i="1"/>
  <c r="X124" i="1"/>
  <c r="X125" i="1"/>
  <c r="V125" i="1" s="1"/>
  <c r="X126" i="1"/>
  <c r="V126" i="1" s="1"/>
  <c r="X127" i="1"/>
  <c r="V127" i="1" s="1"/>
  <c r="X128" i="1"/>
  <c r="V128" i="1" s="1"/>
  <c r="X129" i="1"/>
  <c r="V129" i="1" s="1"/>
  <c r="X130" i="1"/>
  <c r="X131" i="1"/>
  <c r="X132" i="1"/>
  <c r="V132" i="1" s="1"/>
  <c r="X133" i="1"/>
  <c r="V133" i="1" s="1"/>
  <c r="X134" i="1"/>
  <c r="X135" i="1"/>
  <c r="X136" i="1"/>
  <c r="X137" i="1"/>
  <c r="V137" i="1" s="1"/>
  <c r="X138" i="1"/>
  <c r="V138" i="1" s="1"/>
  <c r="X139" i="1"/>
  <c r="V139" i="1" s="1"/>
  <c r="X140" i="1"/>
  <c r="V140" i="1" s="1"/>
  <c r="X141" i="1"/>
  <c r="V141" i="1" s="1"/>
  <c r="X142" i="1"/>
  <c r="X143" i="1"/>
  <c r="X144" i="1"/>
  <c r="V144" i="1" s="1"/>
  <c r="X145" i="1"/>
  <c r="V145" i="1" s="1"/>
  <c r="X146" i="1"/>
  <c r="X147" i="1"/>
  <c r="X148" i="1"/>
  <c r="X149" i="1"/>
  <c r="V149" i="1" s="1"/>
  <c r="X150" i="1"/>
  <c r="V150" i="1" s="1"/>
  <c r="X151" i="1"/>
  <c r="V151" i="1" s="1"/>
  <c r="X152" i="1"/>
  <c r="X153" i="1"/>
  <c r="X154" i="1"/>
  <c r="X155" i="1"/>
  <c r="X156" i="1"/>
  <c r="X157" i="1"/>
  <c r="X158" i="1"/>
  <c r="X159" i="1"/>
  <c r="X160" i="1"/>
  <c r="X161" i="1"/>
  <c r="V161" i="1" s="1"/>
  <c r="X162" i="1"/>
  <c r="V162" i="1" s="1"/>
  <c r="X163" i="1"/>
  <c r="V163" i="1" s="1"/>
  <c r="X164" i="1"/>
  <c r="V164" i="1" s="1"/>
  <c r="X165" i="1"/>
  <c r="V165" i="1" s="1"/>
  <c r="X166" i="1"/>
  <c r="X167" i="1"/>
  <c r="X168" i="1"/>
  <c r="V168" i="1" s="1"/>
  <c r="X169" i="1"/>
  <c r="V169" i="1" s="1"/>
  <c r="X170" i="1"/>
  <c r="X171" i="1"/>
  <c r="X172" i="1"/>
  <c r="X173" i="1"/>
  <c r="V173" i="1" s="1"/>
  <c r="X174" i="1"/>
  <c r="V174" i="1" s="1"/>
  <c r="X175" i="1"/>
  <c r="V175" i="1" s="1"/>
  <c r="X176" i="1"/>
  <c r="V176" i="1" s="1"/>
  <c r="X177" i="1"/>
  <c r="V177" i="1" s="1"/>
  <c r="X178" i="1"/>
  <c r="X179" i="1"/>
  <c r="X180" i="1"/>
  <c r="V180" i="1" s="1"/>
  <c r="X181" i="1"/>
  <c r="V181" i="1" s="1"/>
  <c r="X182" i="1"/>
  <c r="X183" i="1"/>
  <c r="X184" i="1"/>
  <c r="X185" i="1"/>
  <c r="V185" i="1" s="1"/>
  <c r="X186" i="1"/>
  <c r="V186" i="1" s="1"/>
  <c r="X187" i="1"/>
  <c r="V187" i="1" s="1"/>
  <c r="X188" i="1"/>
  <c r="V188" i="1" s="1"/>
  <c r="X189" i="1"/>
  <c r="X190" i="1"/>
  <c r="X191" i="1"/>
  <c r="X192" i="1"/>
  <c r="V192" i="1" s="1"/>
  <c r="X193" i="1"/>
  <c r="V193" i="1" s="1"/>
  <c r="X194" i="1"/>
  <c r="X195" i="1"/>
  <c r="X196" i="1"/>
  <c r="X197" i="1"/>
  <c r="V197" i="1" s="1"/>
  <c r="X198" i="1"/>
  <c r="V198" i="1" s="1"/>
  <c r="X199" i="1"/>
  <c r="V199" i="1" s="1"/>
  <c r="X200" i="1"/>
  <c r="V200" i="1" s="1"/>
  <c r="X201" i="1"/>
  <c r="V201" i="1" s="1"/>
  <c r="X202" i="1"/>
  <c r="X203" i="1"/>
  <c r="X204" i="1"/>
  <c r="V204" i="1" s="1"/>
  <c r="X205" i="1"/>
  <c r="V205" i="1" s="1"/>
  <c r="X206" i="1"/>
  <c r="X207" i="1"/>
  <c r="X208" i="1"/>
  <c r="X209" i="1"/>
  <c r="V209" i="1" s="1"/>
  <c r="X210" i="1"/>
  <c r="V210" i="1" s="1"/>
  <c r="X211" i="1"/>
  <c r="V211" i="1" s="1"/>
  <c r="X212" i="1"/>
  <c r="V212" i="1" s="1"/>
  <c r="X213" i="1"/>
  <c r="V213" i="1" s="1"/>
  <c r="X214" i="1"/>
  <c r="X215" i="1"/>
  <c r="X216" i="1"/>
  <c r="V216" i="1" s="1"/>
  <c r="X217" i="1"/>
  <c r="V217" i="1" s="1"/>
  <c r="X218" i="1"/>
  <c r="X219" i="1"/>
  <c r="X220" i="1"/>
  <c r="X221" i="1"/>
  <c r="V221" i="1" s="1"/>
  <c r="X222" i="1"/>
  <c r="V222" i="1" s="1"/>
  <c r="X223" i="1"/>
  <c r="V223" i="1" s="1"/>
  <c r="X224" i="1"/>
  <c r="V224" i="1" s="1"/>
  <c r="X225" i="1"/>
  <c r="V225" i="1" s="1"/>
  <c r="X226" i="1"/>
  <c r="X227" i="1"/>
  <c r="X228" i="1"/>
  <c r="V228" i="1" s="1"/>
  <c r="X229" i="1"/>
  <c r="V229" i="1" s="1"/>
  <c r="X230" i="1"/>
  <c r="X231" i="1"/>
  <c r="X232" i="1"/>
  <c r="X233" i="1"/>
  <c r="V233" i="1" s="1"/>
  <c r="X234" i="1"/>
  <c r="V234" i="1" s="1"/>
  <c r="X235" i="1"/>
  <c r="V235" i="1" s="1"/>
  <c r="X236" i="1"/>
  <c r="V236" i="1" s="1"/>
  <c r="X237" i="1"/>
  <c r="V237" i="1" s="1"/>
  <c r="X238" i="1"/>
  <c r="X239" i="1"/>
  <c r="X240" i="1"/>
  <c r="V240" i="1" s="1"/>
  <c r="X241" i="1"/>
  <c r="V241" i="1" s="1"/>
  <c r="X242" i="1"/>
  <c r="X243" i="1"/>
  <c r="X244" i="1"/>
  <c r="X245" i="1"/>
  <c r="V245" i="1" s="1"/>
  <c r="X246" i="1"/>
  <c r="V246" i="1" s="1"/>
  <c r="X247" i="1"/>
  <c r="X248" i="1"/>
  <c r="X249" i="1"/>
  <c r="V249" i="1" s="1"/>
  <c r="X250" i="1"/>
  <c r="X251" i="1"/>
  <c r="X252" i="1"/>
  <c r="V252" i="1" s="1"/>
  <c r="X253" i="1"/>
  <c r="V253" i="1" s="1"/>
  <c r="X254" i="1"/>
  <c r="X255" i="1"/>
  <c r="X256" i="1"/>
  <c r="X257" i="1"/>
  <c r="V257" i="1" s="1"/>
  <c r="X258" i="1"/>
  <c r="V258" i="1" s="1"/>
  <c r="X259" i="1"/>
  <c r="V259" i="1" s="1"/>
  <c r="X260" i="1"/>
  <c r="V260" i="1" s="1"/>
  <c r="X261" i="1"/>
  <c r="X262" i="1"/>
  <c r="X263" i="1"/>
  <c r="X264" i="1"/>
  <c r="V264" i="1" s="1"/>
  <c r="X265" i="1"/>
  <c r="V265" i="1" s="1"/>
  <c r="X266" i="1"/>
  <c r="X267" i="1"/>
  <c r="X268" i="1"/>
  <c r="X269" i="1"/>
  <c r="V269" i="1" s="1"/>
  <c r="X270" i="1"/>
  <c r="V270" i="1" s="1"/>
  <c r="X271" i="1"/>
  <c r="V271" i="1" s="1"/>
  <c r="X272" i="1"/>
  <c r="V272" i="1" s="1"/>
  <c r="X273" i="1"/>
  <c r="V273" i="1" s="1"/>
  <c r="X274" i="1"/>
  <c r="X275" i="1"/>
  <c r="X276" i="1"/>
  <c r="V276" i="1" s="1"/>
  <c r="X277" i="1"/>
  <c r="V277" i="1" s="1"/>
  <c r="X278" i="1"/>
  <c r="X279" i="1"/>
  <c r="X280" i="1"/>
  <c r="X281" i="1"/>
  <c r="V281" i="1" s="1"/>
  <c r="X282" i="1"/>
  <c r="V282" i="1" s="1"/>
  <c r="X283" i="1"/>
  <c r="V283" i="1" s="1"/>
  <c r="X284" i="1"/>
  <c r="V284" i="1" s="1"/>
  <c r="X285" i="1"/>
  <c r="V285" i="1" s="1"/>
  <c r="X286" i="1"/>
  <c r="X287" i="1"/>
  <c r="X288" i="1"/>
  <c r="V288" i="1" s="1"/>
  <c r="X289" i="1"/>
  <c r="V289" i="1" s="1"/>
  <c r="X290" i="1"/>
  <c r="X291" i="1"/>
  <c r="X292" i="1"/>
  <c r="X293" i="1"/>
  <c r="V293" i="1" s="1"/>
  <c r="X294" i="1"/>
  <c r="V294" i="1" s="1"/>
  <c r="X295" i="1"/>
  <c r="X296" i="1"/>
  <c r="X297" i="1"/>
  <c r="X298" i="1"/>
  <c r="X299" i="1"/>
  <c r="X300" i="1"/>
  <c r="V300" i="1" s="1"/>
  <c r="X301" i="1"/>
  <c r="V301" i="1" s="1"/>
  <c r="X302" i="1"/>
  <c r="X303" i="1"/>
  <c r="X304" i="1"/>
  <c r="X305" i="1"/>
  <c r="V305" i="1" s="1"/>
  <c r="X306" i="1"/>
  <c r="V306" i="1" s="1"/>
  <c r="X307" i="1"/>
  <c r="V307" i="1" s="1"/>
  <c r="X308" i="1"/>
  <c r="V308" i="1" s="1"/>
  <c r="X309" i="1"/>
  <c r="V309" i="1" s="1"/>
  <c r="X310" i="1"/>
  <c r="X311" i="1"/>
  <c r="X312" i="1"/>
  <c r="V312" i="1" s="1"/>
  <c r="X313" i="1"/>
  <c r="V313" i="1" s="1"/>
  <c r="X314" i="1"/>
  <c r="X315" i="1"/>
  <c r="X316" i="1"/>
  <c r="X317" i="1"/>
  <c r="V317" i="1" s="1"/>
  <c r="X318" i="1"/>
  <c r="V318" i="1" s="1"/>
  <c r="X319" i="1"/>
  <c r="V319" i="1" s="1"/>
  <c r="X320" i="1"/>
  <c r="V320" i="1" s="1"/>
  <c r="X321" i="1"/>
  <c r="V321" i="1" s="1"/>
  <c r="X322" i="1"/>
  <c r="X323" i="1"/>
  <c r="X324" i="1"/>
  <c r="V324" i="1" s="1"/>
  <c r="X325" i="1"/>
  <c r="V325" i="1" s="1"/>
  <c r="X326" i="1"/>
  <c r="X327" i="1"/>
  <c r="X328" i="1"/>
  <c r="X329" i="1"/>
  <c r="V329" i="1" s="1"/>
  <c r="X330" i="1"/>
  <c r="V330" i="1" s="1"/>
  <c r="X331" i="1"/>
  <c r="V331" i="1" s="1"/>
  <c r="X332" i="1"/>
  <c r="V332" i="1" s="1"/>
  <c r="X333" i="1"/>
  <c r="V333" i="1" s="1"/>
  <c r="X334" i="1"/>
  <c r="X335" i="1"/>
  <c r="X336" i="1"/>
  <c r="V336" i="1" s="1"/>
  <c r="X337" i="1"/>
  <c r="V337" i="1" s="1"/>
  <c r="X338" i="1"/>
  <c r="X339" i="1"/>
  <c r="X340" i="1"/>
  <c r="X341" i="1"/>
  <c r="V341" i="1" s="1"/>
  <c r="X342" i="1"/>
  <c r="V342" i="1" s="1"/>
  <c r="X343" i="1"/>
  <c r="V343" i="1" s="1"/>
  <c r="X344" i="1"/>
  <c r="X345" i="1"/>
  <c r="X346" i="1"/>
  <c r="X347" i="1"/>
  <c r="X348" i="1"/>
  <c r="V348" i="1" s="1"/>
  <c r="X349" i="1"/>
  <c r="V349" i="1" s="1"/>
  <c r="X350" i="1"/>
  <c r="X351" i="1"/>
  <c r="X352" i="1"/>
  <c r="X353" i="1"/>
  <c r="V353" i="1" s="1"/>
  <c r="X354" i="1"/>
  <c r="V354" i="1" s="1"/>
  <c r="X355" i="1"/>
  <c r="V355" i="1" s="1"/>
  <c r="X356" i="1"/>
  <c r="V356" i="1" s="1"/>
  <c r="X357" i="1"/>
  <c r="V357" i="1" s="1"/>
  <c r="X358" i="1"/>
  <c r="X359" i="1"/>
  <c r="X360" i="1"/>
  <c r="V360" i="1" s="1"/>
  <c r="X361" i="1"/>
  <c r="V361" i="1" s="1"/>
  <c r="X362" i="1"/>
  <c r="X363" i="1"/>
  <c r="X364" i="1"/>
  <c r="X365" i="1"/>
  <c r="V365" i="1" s="1"/>
  <c r="X366" i="1"/>
  <c r="V366" i="1" s="1"/>
  <c r="X367" i="1"/>
  <c r="V367" i="1" s="1"/>
  <c r="X368" i="1"/>
  <c r="V368" i="1" s="1"/>
  <c r="X369" i="1"/>
  <c r="V369" i="1" s="1"/>
  <c r="X370" i="1"/>
  <c r="V370" i="1" s="1"/>
  <c r="X371" i="1"/>
  <c r="X372" i="1"/>
  <c r="V372" i="1" s="1"/>
  <c r="X373" i="1"/>
  <c r="V373" i="1" s="1"/>
  <c r="X374" i="1"/>
  <c r="X375" i="1"/>
  <c r="X376" i="1"/>
  <c r="X377" i="1"/>
  <c r="V377" i="1" s="1"/>
  <c r="X378" i="1"/>
  <c r="V378" i="1" s="1"/>
  <c r="X379" i="1"/>
  <c r="V379" i="1" s="1"/>
  <c r="X380" i="1"/>
  <c r="V380" i="1" s="1"/>
  <c r="X381" i="1"/>
  <c r="V381" i="1" s="1"/>
  <c r="X382" i="1"/>
  <c r="X383" i="1"/>
  <c r="X384" i="1"/>
  <c r="V384" i="1" s="1"/>
  <c r="X385" i="1"/>
  <c r="V385" i="1" s="1"/>
  <c r="X386" i="1"/>
  <c r="X387" i="1"/>
  <c r="X388" i="1"/>
  <c r="X389" i="1"/>
  <c r="V389" i="1" s="1"/>
  <c r="X390" i="1"/>
  <c r="V390" i="1" s="1"/>
  <c r="X391" i="1"/>
  <c r="V391" i="1" s="1"/>
  <c r="X392" i="1"/>
  <c r="X393" i="1"/>
  <c r="X394" i="1"/>
  <c r="X395" i="1"/>
  <c r="X396" i="1"/>
  <c r="V396" i="1" s="1"/>
  <c r="X397" i="1"/>
  <c r="V397" i="1" s="1"/>
  <c r="X398" i="1"/>
  <c r="X399" i="1"/>
  <c r="X400" i="1"/>
  <c r="X401" i="1"/>
  <c r="V401" i="1" s="1"/>
  <c r="X402" i="1"/>
  <c r="V402" i="1" s="1"/>
  <c r="X403" i="1"/>
  <c r="V403" i="1" s="1"/>
  <c r="X404" i="1"/>
  <c r="V404" i="1" s="1"/>
  <c r="X405" i="1"/>
  <c r="V405" i="1" s="1"/>
  <c r="X406" i="1"/>
  <c r="X407" i="1"/>
  <c r="X408" i="1"/>
  <c r="V408" i="1" s="1"/>
  <c r="X409" i="1"/>
  <c r="V409" i="1" s="1"/>
  <c r="X410" i="1"/>
  <c r="X411" i="1"/>
  <c r="X412" i="1"/>
  <c r="X413" i="1"/>
  <c r="V413" i="1" s="1"/>
  <c r="X414" i="1"/>
  <c r="V414" i="1" s="1"/>
  <c r="X415" i="1"/>
  <c r="V415" i="1" s="1"/>
  <c r="X416" i="1"/>
  <c r="V416" i="1" s="1"/>
  <c r="X417" i="1"/>
  <c r="V417" i="1" s="1"/>
  <c r="X418" i="1"/>
  <c r="X419" i="1"/>
  <c r="X420" i="1"/>
  <c r="V420" i="1" s="1"/>
  <c r="X421" i="1"/>
  <c r="V421" i="1" s="1"/>
  <c r="X422" i="1"/>
  <c r="X423" i="1"/>
  <c r="X424" i="1"/>
  <c r="X425" i="1"/>
  <c r="V425" i="1" s="1"/>
  <c r="X426" i="1"/>
  <c r="V426" i="1" s="1"/>
  <c r="X427" i="1"/>
  <c r="V427" i="1" s="1"/>
  <c r="X428" i="1"/>
  <c r="X429" i="1"/>
  <c r="X430" i="1"/>
  <c r="X431" i="1"/>
  <c r="X432" i="1"/>
  <c r="V432" i="1" s="1"/>
  <c r="X433" i="1"/>
  <c r="V433" i="1" s="1"/>
  <c r="X434" i="1"/>
  <c r="X435" i="1"/>
  <c r="X436" i="1"/>
  <c r="X437" i="1"/>
  <c r="V437" i="1" s="1"/>
  <c r="X438" i="1"/>
  <c r="V438" i="1" s="1"/>
  <c r="X439" i="1"/>
  <c r="V439" i="1" s="1"/>
  <c r="X440" i="1"/>
  <c r="V440" i="1" s="1"/>
  <c r="X441" i="1"/>
  <c r="V441" i="1" s="1"/>
  <c r="X442" i="1"/>
  <c r="X443" i="1"/>
  <c r="X444" i="1"/>
  <c r="X445" i="1"/>
  <c r="X446" i="1"/>
  <c r="X447" i="1"/>
  <c r="X448" i="1"/>
  <c r="X449" i="1"/>
  <c r="V449" i="1" s="1"/>
  <c r="X450" i="1"/>
  <c r="V450" i="1" s="1"/>
  <c r="X451" i="1"/>
  <c r="V451" i="1" s="1"/>
  <c r="X452" i="1"/>
  <c r="V452" i="1" s="1"/>
  <c r="X453" i="1"/>
  <c r="V453" i="1" s="1"/>
  <c r="X454" i="1"/>
  <c r="X455" i="1"/>
  <c r="X456" i="1"/>
  <c r="V456" i="1" s="1"/>
  <c r="X457" i="1"/>
  <c r="V457" i="1" s="1"/>
  <c r="X458" i="1"/>
  <c r="X459" i="1"/>
  <c r="X460" i="1"/>
  <c r="X461" i="1"/>
  <c r="V461" i="1" s="1"/>
  <c r="X462" i="1"/>
  <c r="V462" i="1" s="1"/>
  <c r="X463" i="1"/>
  <c r="V463" i="1" s="1"/>
  <c r="X464" i="1"/>
  <c r="V464" i="1" s="1"/>
  <c r="X465" i="1"/>
  <c r="V465" i="1" s="1"/>
  <c r="X466" i="1"/>
  <c r="X467" i="1"/>
  <c r="X468" i="1"/>
  <c r="V468" i="1" s="1"/>
  <c r="X469" i="1"/>
  <c r="V469" i="1" s="1"/>
  <c r="X470" i="1"/>
  <c r="X471" i="1"/>
  <c r="X472" i="1"/>
  <c r="X473" i="1"/>
  <c r="V473" i="1" s="1"/>
  <c r="X474" i="1"/>
  <c r="V474" i="1" s="1"/>
  <c r="X475" i="1"/>
  <c r="V475" i="1" s="1"/>
  <c r="X476" i="1"/>
  <c r="X2" i="1"/>
  <c r="V2" i="1" s="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2" i="1"/>
  <c r="V455" i="1" l="1"/>
  <c r="V419" i="1"/>
  <c r="V371" i="1"/>
  <c r="V323" i="1"/>
  <c r="V287" i="1"/>
  <c r="V239" i="1"/>
  <c r="V215" i="1"/>
  <c r="V167" i="1"/>
  <c r="V155" i="1"/>
  <c r="V107" i="1"/>
  <c r="V83" i="1"/>
  <c r="V59" i="1"/>
  <c r="V47" i="1"/>
  <c r="V23" i="1"/>
  <c r="V442" i="1"/>
  <c r="V418" i="1"/>
  <c r="V346" i="1"/>
  <c r="V310" i="1"/>
  <c r="V286" i="1"/>
  <c r="V262" i="1"/>
  <c r="V214" i="1"/>
  <c r="V166" i="1"/>
  <c r="V154" i="1"/>
  <c r="V130" i="1"/>
  <c r="V34" i="1"/>
  <c r="V444" i="1"/>
  <c r="V156" i="1"/>
  <c r="V443" i="1"/>
  <c r="V395" i="1"/>
  <c r="V347" i="1"/>
  <c r="V311" i="1"/>
  <c r="V263" i="1"/>
  <c r="V191" i="1"/>
  <c r="V131" i="1"/>
  <c r="V454" i="1"/>
  <c r="V430" i="1"/>
  <c r="V394" i="1"/>
  <c r="V322" i="1"/>
  <c r="V298" i="1"/>
  <c r="V274" i="1"/>
  <c r="V238" i="1"/>
  <c r="V190" i="1"/>
  <c r="V142" i="1"/>
  <c r="V106" i="1"/>
  <c r="V82" i="1"/>
  <c r="V58" i="1"/>
  <c r="V46" i="1"/>
  <c r="V22" i="1"/>
  <c r="V429" i="1"/>
  <c r="V393" i="1"/>
  <c r="V345" i="1"/>
  <c r="V297" i="1"/>
  <c r="V261" i="1"/>
  <c r="V189" i="1"/>
  <c r="V153" i="1"/>
  <c r="V57" i="1"/>
  <c r="V21" i="1"/>
  <c r="V476" i="1"/>
  <c r="V428" i="1"/>
  <c r="V392" i="1"/>
  <c r="V344" i="1"/>
  <c r="V296" i="1"/>
  <c r="V248" i="1"/>
  <c r="V152" i="1"/>
  <c r="V56" i="1"/>
  <c r="V20" i="1"/>
  <c r="V445" i="1"/>
  <c r="V157" i="1"/>
  <c r="V247" i="1"/>
  <c r="V295" i="1"/>
  <c r="V19" i="1"/>
  <c r="V55" i="1"/>
  <c r="V431" i="1"/>
  <c r="V335" i="1"/>
  <c r="V251" i="1"/>
  <c r="V203" i="1"/>
  <c r="V179" i="1"/>
  <c r="V143" i="1"/>
  <c r="V95" i="1"/>
  <c r="V71" i="1"/>
  <c r="V35" i="1"/>
  <c r="V11" i="1"/>
  <c r="V466" i="1"/>
  <c r="V406" i="1"/>
  <c r="V382" i="1"/>
  <c r="V358" i="1"/>
  <c r="V334" i="1"/>
  <c r="V250" i="1"/>
  <c r="V226" i="1"/>
  <c r="V202" i="1"/>
  <c r="V178" i="1"/>
  <c r="V118" i="1"/>
  <c r="V94" i="1"/>
  <c r="V70" i="1"/>
  <c r="V10" i="1"/>
  <c r="V359" i="1"/>
  <c r="V275" i="1"/>
  <c r="V227" i="1"/>
  <c r="V467" i="1"/>
  <c r="V407" i="1"/>
  <c r="V109" i="1"/>
  <c r="V383" i="1"/>
  <c r="V299" i="1"/>
  <c r="V119" i="1"/>
  <c r="V108" i="1"/>
  <c r="V53" i="1"/>
  <c r="V29" i="1"/>
  <c r="V5" i="1"/>
  <c r="V472" i="1"/>
  <c r="V448" i="1"/>
  <c r="V424" i="1"/>
  <c r="V400" i="1"/>
  <c r="V388" i="1"/>
  <c r="V364" i="1"/>
  <c r="V340" i="1"/>
  <c r="V316" i="1"/>
  <c r="V292" i="1"/>
  <c r="V268" i="1"/>
  <c r="V244" i="1"/>
  <c r="V220" i="1"/>
  <c r="V196" i="1"/>
  <c r="V172" i="1"/>
  <c r="V148" i="1"/>
  <c r="V124" i="1"/>
  <c r="V112" i="1"/>
  <c r="V88" i="1"/>
  <c r="V64" i="1"/>
  <c r="V40" i="1"/>
  <c r="V4" i="1"/>
  <c r="V471" i="1"/>
  <c r="V459" i="1"/>
  <c r="V447" i="1"/>
  <c r="V435" i="1"/>
  <c r="V423" i="1"/>
  <c r="V411" i="1"/>
  <c r="V399" i="1"/>
  <c r="V387" i="1"/>
  <c r="V375" i="1"/>
  <c r="V363" i="1"/>
  <c r="V351" i="1"/>
  <c r="V339" i="1"/>
  <c r="V327" i="1"/>
  <c r="V315" i="1"/>
  <c r="V303" i="1"/>
  <c r="V291" i="1"/>
  <c r="V279" i="1"/>
  <c r="V267" i="1"/>
  <c r="V255" i="1"/>
  <c r="V243" i="1"/>
  <c r="V231" i="1"/>
  <c r="V219" i="1"/>
  <c r="V207" i="1"/>
  <c r="V195" i="1"/>
  <c r="V183" i="1"/>
  <c r="V171" i="1"/>
  <c r="V159" i="1"/>
  <c r="V147" i="1"/>
  <c r="V135" i="1"/>
  <c r="V123" i="1"/>
  <c r="V111" i="1"/>
  <c r="V99" i="1"/>
  <c r="V87" i="1"/>
  <c r="V75" i="1"/>
  <c r="V63" i="1"/>
  <c r="V51" i="1"/>
  <c r="V39" i="1"/>
  <c r="V27" i="1"/>
  <c r="V15" i="1"/>
  <c r="V3" i="1"/>
  <c r="V89" i="1"/>
  <c r="V65" i="1"/>
  <c r="V41" i="1"/>
  <c r="V17" i="1"/>
  <c r="V460" i="1"/>
  <c r="V436" i="1"/>
  <c r="V412" i="1"/>
  <c r="V376" i="1"/>
  <c r="V352" i="1"/>
  <c r="V328" i="1"/>
  <c r="V304" i="1"/>
  <c r="V280" i="1"/>
  <c r="V256" i="1"/>
  <c r="V232" i="1"/>
  <c r="V208" i="1"/>
  <c r="V184" i="1"/>
  <c r="V160" i="1"/>
  <c r="V136" i="1"/>
  <c r="V100" i="1"/>
  <c r="V76" i="1"/>
  <c r="V52" i="1"/>
  <c r="V28" i="1"/>
  <c r="V16" i="1"/>
  <c r="V470" i="1"/>
  <c r="V458" i="1"/>
  <c r="V446" i="1"/>
  <c r="V434" i="1"/>
  <c r="V422" i="1"/>
  <c r="V410" i="1"/>
  <c r="V398" i="1"/>
  <c r="V386" i="1"/>
  <c r="V374" i="1"/>
  <c r="V362" i="1"/>
  <c r="V350" i="1"/>
  <c r="V338" i="1"/>
  <c r="V326" i="1"/>
  <c r="V314" i="1"/>
  <c r="V302" i="1"/>
  <c r="V290" i="1"/>
  <c r="V278" i="1"/>
  <c r="V266" i="1"/>
  <c r="V254" i="1"/>
  <c r="V242" i="1"/>
  <c r="V230" i="1"/>
  <c r="V218" i="1"/>
  <c r="V206" i="1"/>
  <c r="V194" i="1"/>
  <c r="V182" i="1"/>
  <c r="V170" i="1"/>
  <c r="V158" i="1"/>
  <c r="V146" i="1"/>
  <c r="V134" i="1"/>
  <c r="V122" i="1"/>
  <c r="V110" i="1"/>
  <c r="V98" i="1"/>
  <c r="V86" i="1"/>
  <c r="V74" i="1"/>
  <c r="V62" i="1"/>
  <c r="V50" i="1"/>
  <c r="V38" i="1"/>
  <c r="V26" i="1"/>
  <c r="V14" i="1"/>
</calcChain>
</file>

<file path=xl/sharedStrings.xml><?xml version="1.0" encoding="utf-8"?>
<sst xmlns="http://schemas.openxmlformats.org/spreadsheetml/2006/main" count="9352" uniqueCount="1830">
  <si>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</si>
  <si>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</si>
  <si>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</si>
  <si>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</si>
  <si>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</si>
  <si>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</si>
  <si>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</si>
  <si>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</si>
  <si>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</si>
  <si>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</si>
  <si>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</si>
  <si>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</si>
  <si>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</si>
  <si>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</si>
  <si>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</si>
  <si>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</si>
  <si>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</si>
  <si>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</si>
  <si>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</si>
  <si>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</si>
  <si>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</si>
  <si>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</si>
  <si>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</si>
  <si>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</si>
  <si>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</si>
  <si>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</si>
  <si>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</si>
  <si>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</si>
  <si>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</si>
  <si>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</si>
  <si>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</si>
  <si>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</si>
  <si>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</si>
  <si>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</si>
  <si>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</si>
  <si>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</si>
  <si>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</si>
  <si>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</si>
  <si>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</si>
  <si>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</si>
  <si>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</si>
  <si>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</si>
  <si>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</si>
  <si>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</si>
  <si>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</si>
  <si>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</si>
  <si>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</si>
  <si>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</si>
  <si>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</si>
  <si>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</si>
  <si>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</si>
  <si>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</si>
  <si>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</si>
  <si>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</si>
  <si>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</si>
  <si>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</si>
  <si>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</si>
  <si>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</si>
  <si>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</si>
  <si>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</si>
  <si>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</si>
  <si>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</si>
  <si>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</si>
  <si>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</si>
  <si>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</si>
  <si>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</si>
  <si>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</si>
  <si>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</si>
  <si>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</si>
  <si>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</si>
  <si>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</si>
  <si>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</si>
  <si>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</si>
  <si>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</si>
  <si>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</si>
  <si>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</si>
  <si>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</si>
  <si>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</si>
  <si>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</si>
  <si>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</si>
  <si>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</si>
  <si>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</si>
  <si>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</si>
  <si>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</si>
  <si>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</si>
  <si>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</si>
  <si>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</si>
  <si>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</si>
  <si>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</si>
  <si>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</si>
  <si>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</si>
  <si>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</si>
  <si>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</si>
  <si>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</si>
  <si>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</si>
  <si>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</si>
  <si>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</si>
  <si>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</si>
  <si>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</si>
  <si>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</si>
  <si>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</si>
  <si>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</si>
  <si>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</si>
  <si>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</si>
  <si>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</si>
  <si>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</si>
  <si>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</si>
  <si>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</si>
  <si>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</si>
  <si>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</si>
  <si>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</si>
  <si>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</si>
  <si>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</si>
  <si>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</si>
  <si>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</si>
  <si>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</si>
  <si>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</si>
  <si>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</si>
  <si>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</si>
  <si>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</si>
  <si>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</si>
  <si>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</si>
  <si>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</si>
  <si>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</si>
  <si>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</si>
  <si>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</si>
  <si>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</si>
  <si>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</si>
  <si>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</si>
  <si>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</si>
  <si>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</si>
  <si>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</si>
  <si>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</si>
  <si>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</si>
  <si>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</si>
  <si>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</si>
  <si>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</si>
  <si>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</si>
  <si>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</si>
  <si>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</si>
  <si>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</si>
  <si>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</si>
  <si>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</si>
  <si>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</si>
  <si>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</si>
  <si>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</si>
  <si>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</si>
  <si>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</si>
  <si>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</si>
  <si>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</si>
  <si>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</si>
  <si>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</si>
  <si>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</si>
  <si>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</si>
  <si>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</si>
  <si>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</si>
  <si>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</si>
  <si>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</si>
  <si>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</si>
  <si>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</si>
  <si>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</si>
  <si>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</si>
  <si>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</si>
  <si>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</si>
  <si>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</si>
  <si>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</si>
  <si>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</si>
  <si>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</si>
  <si>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</si>
  <si>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</si>
  <si>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</si>
  <si>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</si>
  <si>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</si>
  <si>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</si>
  <si>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</si>
  <si>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</si>
  <si>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</si>
  <si>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</si>
  <si>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</si>
  <si>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</si>
  <si>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</si>
  <si>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</si>
  <si>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</si>
  <si>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</si>
  <si>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</si>
  <si>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</si>
  <si>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</si>
  <si>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</si>
  <si>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</si>
  <si>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</si>
  <si>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</si>
  <si>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</si>
  <si>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</si>
  <si>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</si>
  <si>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</si>
  <si>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</si>
  <si>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</si>
  <si>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</si>
  <si>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</si>
  <si>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</si>
  <si>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</si>
  <si>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</si>
  <si>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</si>
  <si>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</si>
  <si>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</si>
  <si>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</si>
  <si>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</si>
  <si>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</si>
  <si>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</si>
  <si>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</si>
  <si>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</si>
  <si>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</si>
  <si>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</si>
  <si>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</si>
  <si>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</si>
  <si>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</si>
  <si>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</si>
  <si>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</si>
  <si>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</si>
  <si>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</si>
  <si>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</si>
  <si>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</si>
  <si>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</si>
  <si>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</si>
  <si>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</si>
  <si>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</si>
  <si>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</si>
  <si>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</si>
  <si>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</si>
  <si>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</si>
  <si>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</si>
  <si>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</si>
  <si>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</si>
  <si>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</si>
  <si>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</si>
  <si>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</si>
  <si>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</si>
  <si>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</si>
  <si>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</si>
  <si>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</si>
  <si>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</si>
  <si>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</si>
  <si>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</si>
  <si>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</si>
  <si>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</si>
  <si>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</si>
  <si>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</si>
  <si>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</si>
  <si>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</si>
  <si>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</si>
  <si>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</si>
  <si>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</si>
  <si>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</si>
  <si>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</si>
  <si>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</si>
  <si>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</si>
  <si>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</si>
  <si>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</si>
  <si>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</si>
  <si>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</si>
  <si>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</si>
  <si>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</si>
  <si>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</si>
  <si>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</si>
  <si>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</si>
  <si>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</si>
  <si>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</si>
  <si>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</si>
  <si>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</si>
  <si>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</si>
  <si>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</si>
  <si>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</si>
  <si>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</si>
  <si>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</si>
  <si>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</si>
  <si>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</si>
  <si>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</si>
  <si>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</si>
  <si>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</si>
  <si>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</si>
  <si>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</si>
  <si>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</si>
  <si>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</si>
  <si>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</si>
  <si>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</si>
  <si>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</si>
  <si>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</si>
  <si>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</si>
  <si>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</si>
  <si>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</si>
  <si>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</si>
  <si>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</si>
  <si>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</si>
  <si>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</si>
  <si>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</si>
  <si>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</si>
  <si>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</si>
  <si>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</si>
  <si>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</si>
  <si>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</si>
  <si>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</si>
  <si>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</si>
  <si>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</si>
  <si>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</si>
  <si>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</si>
  <si>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</si>
  <si>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</si>
  <si>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</si>
  <si>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</si>
  <si>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</si>
  <si>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</si>
  <si>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</si>
  <si>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</si>
  <si>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</si>
  <si>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</si>
  <si>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</si>
  <si>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</si>
  <si>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</si>
  <si>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</si>
  <si>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</si>
  <si>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</si>
  <si>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</si>
  <si>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</si>
  <si>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</si>
  <si>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</si>
  <si>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</si>
  <si>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</si>
  <si>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</si>
  <si>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</si>
  <si>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</si>
  <si>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</si>
  <si>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</si>
  <si>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</si>
  <si>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</si>
  <si>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</si>
  <si>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</si>
  <si>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</si>
  <si>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</si>
  <si>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</si>
  <si>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</si>
  <si>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</si>
  <si>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</si>
  <si>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</si>
  <si>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</si>
  <si>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</si>
  <si>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</si>
  <si>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</si>
  <si>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</si>
  <si>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</si>
  <si>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</si>
  <si>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</si>
  <si>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</si>
  <si>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</si>
  <si>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</si>
  <si>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</si>
  <si>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</si>
  <si>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</si>
  <si>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</si>
  <si>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</si>
  <si>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</si>
  <si>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</si>
  <si>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</si>
  <si>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</si>
  <si>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</si>
  <si>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</si>
  <si>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</si>
  <si>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</si>
  <si>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</si>
  <si>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</si>
  <si>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</si>
  <si>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</si>
  <si>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</si>
  <si>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</si>
  <si>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</si>
  <si>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</si>
  <si>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</si>
  <si>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</si>
  <si>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</si>
  <si>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</si>
  <si>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</si>
  <si>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</si>
  <si>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</si>
  <si>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</si>
  <si>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</si>
  <si>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</si>
  <si>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</si>
  <si>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</si>
  <si>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</si>
  <si>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</si>
  <si>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</si>
  <si>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</si>
  <si>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</si>
  <si>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</si>
  <si>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</si>
  <si>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</si>
  <si>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</si>
  <si>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</si>
  <si>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</si>
  <si>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</si>
  <si>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</si>
  <si>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</si>
  <si>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</si>
  <si>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</si>
  <si>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</si>
  <si>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</si>
  <si>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</si>
  <si>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</si>
  <si>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</si>
  <si>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</si>
  <si>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</si>
  <si>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</si>
  <si>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</si>
  <si>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</si>
  <si>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</si>
  <si>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</si>
  <si>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</si>
  <si>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</si>
  <si>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</si>
  <si>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</si>
  <si>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</si>
  <si>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</si>
  <si>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</si>
  <si>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</si>
  <si>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</si>
  <si>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</si>
  <si>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</si>
  <si>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</si>
  <si>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</si>
  <si>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</si>
  <si>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</si>
  <si>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</si>
  <si>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</si>
  <si>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</si>
  <si>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</si>
  <si>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</si>
  <si>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</si>
  <si>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</si>
  <si>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</si>
  <si>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</si>
  <si>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</si>
  <si>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</si>
  <si>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</si>
  <si>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</si>
  <si>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</si>
  <si>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</si>
  <si>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</si>
  <si>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</si>
  <si>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</si>
  <si>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</si>
  <si>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</si>
  <si>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</si>
  <si>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</si>
  <si>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</si>
  <si>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</si>
  <si>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</si>
  <si>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</si>
  <si>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</si>
  <si>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</si>
  <si>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</si>
  <si>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</si>
  <si>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</si>
  <si>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</si>
  <si>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</si>
  <si>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</si>
  <si>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</si>
  <si>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</si>
  <si>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</si>
  <si>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</si>
  <si>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</si>
  <si>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</si>
  <si>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</si>
  <si>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</si>
  <si>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</si>
  <si>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</si>
  <si>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</si>
  <si>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</si>
  <si>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</si>
  <si>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</si>
  <si>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</si>
  <si>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</si>
  <si>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</si>
  <si>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</si>
  <si>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</si>
  <si>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</si>
  <si>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</si>
  <si>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</si>
  <si>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</si>
  <si>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</si>
  <si>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</si>
  <si>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</si>
  <si>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</si>
  <si>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</si>
  <si>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</si>
  <si>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</si>
  <si>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</si>
  <si>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</si>
  <si>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</si>
  <si>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</si>
  <si>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</si>
  <si>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</si>
  <si>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</si>
  <si>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</si>
  <si>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</si>
  <si>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</si>
  <si>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</si>
  <si>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</si>
  <si>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</si>
  <si>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</si>
  <si>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</si>
  <si>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</si>
  <si>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</si>
  <si>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</si>
  <si>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</si>
  <si>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</si>
  <si>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</si>
  <si>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</si>
  <si>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</si>
  <si>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</si>
  <si>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</si>
  <si>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</si>
  <si>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</si>
  <si>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</si>
  <si>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</si>
  <si>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</si>
  <si>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</si>
  <si>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</si>
  <si>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</si>
  <si>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</si>
  <si>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</si>
  <si>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</si>
  <si>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</si>
  <si>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</si>
  <si>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</si>
  <si>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</si>
  <si>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</si>
  <si>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</si>
  <si>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</si>
  <si>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</si>
  <si>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</si>
  <si>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</si>
  <si>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</si>
  <si>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</si>
  <si>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</si>
  <si>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</si>
  <si>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</si>
  <si>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</si>
  <si>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</si>
  <si>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</si>
  <si>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</si>
  <si>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</si>
  <si>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</si>
  <si>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</si>
  <si>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</si>
  <si>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</si>
  <si>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</si>
  <si>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</si>
  <si>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</si>
  <si>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</si>
  <si>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</si>
  <si>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</si>
  <si>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</si>
  <si>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</si>
  <si>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</si>
  <si>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</si>
  <si>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</si>
  <si>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</si>
  <si>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</si>
  <si>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</si>
  <si>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</si>
  <si>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</si>
  <si>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</si>
  <si>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</si>
  <si>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</si>
  <si>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</si>
  <si>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</si>
  <si>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</si>
  <si>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</si>
  <si>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</si>
  <si>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</si>
  <si>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</si>
  <si>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</si>
  <si>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</si>
  <si>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</si>
  <si>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</si>
  <si>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</si>
  <si>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</si>
  <si>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</si>
  <si>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</si>
  <si>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</si>
  <si>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</si>
  <si>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</si>
  <si>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</si>
  <si>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</si>
  <si>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</si>
  <si>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</si>
  <si>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</si>
  <si>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</si>
  <si>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</si>
  <si>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</si>
  <si>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</si>
  <si>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</si>
  <si>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</si>
  <si>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</si>
  <si>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</si>
  <si>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</si>
  <si>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</si>
  <si>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</si>
  <si>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</si>
  <si>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</si>
  <si>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</si>
  <si>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</si>
  <si>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</si>
  <si>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</si>
  <si>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</si>
  <si>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</si>
  <si>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</si>
  <si>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</si>
  <si>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</si>
  <si>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</si>
  <si>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</si>
  <si>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</si>
  <si>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</si>
  <si>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</si>
  <si>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</si>
  <si>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</si>
  <si>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</si>
  <si>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</si>
  <si>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</si>
  <si>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</si>
  <si>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</si>
  <si>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</si>
  <si>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</si>
  <si>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</si>
  <si>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</si>
  <si>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</si>
  <si>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</si>
  <si>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</si>
  <si>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</si>
  <si>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</si>
  <si>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</si>
  <si>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</si>
  <si>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</si>
  <si>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</si>
  <si>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</si>
  <si>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</si>
  <si>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</si>
  <si>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</si>
  <si>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</si>
  <si>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</si>
  <si>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</si>
  <si>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</si>
  <si>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</si>
  <si>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</si>
  <si>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</si>
  <si>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</si>
  <si>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</si>
  <si>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</si>
  <si>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</si>
  <si>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</si>
  <si>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</si>
  <si>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</si>
  <si>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</si>
  <si>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</si>
  <si>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</si>
  <si>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</si>
  <si>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</si>
  <si>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</si>
  <si>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</si>
  <si>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</si>
  <si>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</si>
  <si>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</si>
  <si>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</si>
  <si>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</si>
  <si>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</si>
  <si>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</si>
  <si>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</si>
  <si>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</si>
  <si>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</si>
  <si>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</si>
  <si>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</si>
  <si>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</si>
  <si>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</si>
  <si>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</si>
  <si>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</si>
  <si>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</si>
  <si>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</si>
  <si>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</si>
  <si>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</si>
  <si>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</si>
  <si>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</si>
  <si>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</si>
  <si>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</si>
  <si>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</si>
  <si>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</si>
  <si>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</si>
  <si>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</si>
  <si>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</si>
  <si>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</si>
  <si>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</si>
  <si>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</si>
  <si>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</si>
  <si>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</si>
  <si>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</si>
  <si>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</si>
  <si>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</si>
  <si>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</si>
  <si>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</si>
  <si>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</si>
  <si>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</si>
  <si>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</si>
  <si>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</si>
  <si>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</si>
  <si>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</si>
  <si>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</si>
  <si>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</si>
  <si>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</si>
  <si>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</si>
  <si>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</si>
  <si>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</si>
  <si>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</si>
  <si>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</si>
  <si>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</si>
  <si>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</si>
  <si>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</si>
  <si>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</si>
  <si>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</si>
  <si>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</si>
  <si>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</si>
  <si>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</si>
  <si>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</si>
  <si>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</si>
  <si>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</si>
  <si>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</si>
  <si>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</si>
  <si>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</si>
  <si>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</si>
  <si>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</si>
  <si>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</si>
  <si>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</si>
  <si>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</si>
  <si>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</si>
  <si>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</si>
  <si>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</si>
  <si>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</si>
  <si>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</si>
  <si>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</si>
  <si>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</si>
  <si>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</si>
  <si>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</si>
  <si>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</si>
  <si>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</si>
  <si>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</si>
  <si>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</si>
  <si>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</si>
  <si>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</si>
  <si>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</si>
  <si>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</si>
  <si>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</si>
  <si>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</si>
  <si>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</si>
  <si>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</si>
  <si>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</si>
  <si>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</si>
  <si>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</si>
  <si>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</si>
  <si>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</si>
  <si>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</si>
  <si>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</si>
  <si>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</si>
  <si>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</si>
  <si>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</si>
  <si>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</si>
  <si>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</si>
  <si>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</si>
  <si>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</si>
  <si>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</si>
  <si>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</si>
  <si>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</si>
  <si>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</si>
  <si>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</si>
  <si>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</si>
  <si>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</si>
  <si>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</si>
  <si>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</si>
  <si>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</si>
  <si>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</si>
  <si>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</si>
  <si>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</si>
  <si>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</si>
  <si>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</si>
  <si>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</si>
  <si>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</si>
  <si>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</si>
  <si>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</si>
  <si>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</si>
  <si>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</si>
  <si>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</si>
  <si>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</si>
  <si>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</si>
  <si>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</si>
  <si>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</si>
  <si>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</si>
  <si>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</si>
  <si>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</si>
  <si>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</si>
  <si>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</si>
  <si>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</si>
  <si>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</si>
  <si>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</si>
  <si>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</si>
  <si>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</si>
  <si>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</si>
  <si>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</si>
  <si>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</si>
  <si>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</si>
  <si>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</si>
  <si>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</si>
  <si>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</si>
  <si>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</si>
  <si>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</si>
  <si>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</si>
  <si>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</si>
  <si>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</si>
  <si>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</si>
  <si>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</si>
  <si>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</si>
  <si>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</si>
  <si>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</si>
  <si>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</si>
  <si>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</si>
  <si>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</si>
  <si>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</si>
  <si>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</si>
  <si>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</si>
  <si>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</si>
  <si>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</si>
  <si>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</si>
  <si>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</si>
  <si>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</si>
  <si>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</si>
  <si>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</si>
  <si>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</si>
  <si>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</si>
  <si>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</si>
  <si>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</si>
  <si>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</si>
  <si>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</si>
  <si>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</si>
  <si>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</si>
  <si>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</si>
  <si>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</si>
  <si>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</si>
  <si>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</si>
  <si>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</si>
  <si>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</si>
  <si>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</si>
  <si>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</si>
  <si>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</si>
  <si>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</si>
  <si>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</si>
  <si>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</si>
  <si>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</si>
  <si>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</si>
  <si>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</si>
  <si>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</si>
  <si>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</si>
  <si>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</si>
  <si>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</si>
  <si>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</si>
  <si>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</si>
  <si>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</si>
  <si>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</si>
  <si>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</si>
  <si>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</si>
  <si>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</si>
  <si>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</si>
  <si>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</si>
  <si>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</si>
  <si>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</si>
  <si>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</si>
  <si>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</si>
  <si>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</si>
  <si>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</si>
  <si>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</si>
  <si>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</si>
  <si>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</si>
  <si>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</si>
  <si>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</si>
  <si>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</si>
  <si>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</si>
  <si>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</si>
  <si>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</si>
  <si>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</si>
  <si>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</si>
  <si>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</si>
  <si>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</si>
  <si>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</si>
  <si>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</si>
  <si>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</si>
  <si>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</si>
  <si>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</si>
  <si>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</si>
  <si>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</si>
  <si>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</si>
  <si>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</si>
  <si>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</si>
  <si>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</si>
  <si>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</si>
  <si>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</si>
  <si>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</si>
  <si>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</si>
  <si>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</si>
  <si>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</si>
  <si>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</si>
  <si>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</si>
  <si>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</si>
  <si>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</si>
  <si>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</si>
  <si>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</si>
  <si>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</si>
  <si>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</si>
  <si>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</si>
  <si>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</si>
  <si>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</si>
  <si>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</si>
  <si>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</si>
  <si>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</si>
  <si>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</si>
  <si>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</si>
  <si>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</si>
  <si>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</si>
  <si>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</si>
  <si>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</si>
  <si>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</si>
  <si>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</si>
  <si>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</si>
  <si>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</si>
  <si>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</si>
  <si>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</si>
  <si>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</si>
  <si>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</si>
  <si>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</si>
  <si>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</si>
  <si>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</si>
  <si>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</si>
  <si>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</si>
  <si>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</si>
  <si>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</si>
  <si>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</si>
  <si>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</si>
  <si>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</si>
  <si>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</si>
  <si>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</si>
  <si>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</si>
  <si>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</si>
  <si>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</si>
  <si>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</si>
  <si>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</si>
  <si>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</si>
  <si>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</si>
  <si>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</si>
  <si>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</si>
  <si>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</si>
  <si>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</si>
  <si>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</si>
  <si>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</si>
  <si>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</si>
  <si>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</si>
  <si>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</si>
  <si>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</si>
  <si>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</si>
  <si>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</si>
  <si>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</si>
  <si>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</si>
  <si>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</si>
  <si>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</si>
  <si>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</si>
  <si>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</si>
  <si>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</si>
  <si>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</si>
  <si>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</si>
  <si>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</si>
  <si>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</si>
  <si>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</si>
  <si>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</si>
  <si>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</si>
  <si>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</si>
  <si>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</si>
  <si>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</si>
  <si>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</si>
  <si>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</si>
  <si>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</si>
  <si>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</si>
  <si>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</si>
  <si>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</si>
  <si>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</si>
  <si>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</si>
  <si>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</si>
  <si>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</si>
  <si>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</si>
  <si>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</si>
  <si>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</si>
  <si>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</si>
  <si>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</si>
  <si>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</si>
  <si>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</si>
  <si>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</si>
  <si>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</si>
  <si>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</si>
  <si>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</si>
  <si>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</si>
  <si>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</si>
  <si>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</si>
  <si>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</si>
  <si>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</si>
  <si>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</si>
  <si>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</si>
  <si>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</si>
  <si>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</si>
  <si>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</si>
  <si>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</si>
  <si>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</si>
  <si>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</si>
  <si>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</si>
  <si>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</si>
  <si>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</si>
  <si>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</si>
  <si>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</si>
  <si>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</si>
  <si>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</si>
  <si>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</si>
  <si>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</si>
  <si>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</si>
  <si>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</si>
  <si>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</si>
  <si>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</si>
  <si>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</si>
  <si>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</si>
  <si>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</si>
  <si>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</si>
  <si>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</si>
  <si>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</si>
  <si>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</si>
  <si>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</si>
  <si>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</si>
  <si>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</si>
  <si>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</si>
  <si>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</si>
  <si>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</si>
  <si>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</si>
  <si>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</si>
  <si>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</si>
  <si>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</si>
  <si>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</si>
  <si>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</si>
  <si>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</si>
  <si>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</si>
  <si>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</si>
  <si>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</si>
  <si>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</si>
  <si>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</si>
  <si>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</si>
  <si>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</si>
  <si>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</si>
  <si>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</si>
  <si>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</si>
  <si>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</si>
  <si>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</si>
  <si>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</si>
  <si>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</si>
  <si>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</si>
  <si>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</si>
  <si>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</si>
  <si>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</si>
  <si>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</si>
  <si>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</si>
  <si>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</si>
  <si>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</si>
  <si>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</si>
  <si>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</si>
  <si>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</si>
  <si>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</si>
  <si>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</si>
  <si>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</si>
  <si>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</si>
  <si>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</si>
  <si>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</si>
  <si>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</si>
  <si>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</si>
  <si>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</si>
  <si>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</si>
  <si>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</si>
  <si>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</si>
  <si>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</si>
  <si>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</si>
  <si>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</si>
  <si>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</si>
  <si>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</si>
  <si>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</si>
  <si>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</si>
  <si>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</si>
  <si>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</si>
  <si>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</si>
  <si>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</si>
  <si>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</si>
  <si>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</si>
  <si>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</si>
  <si>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</si>
  <si>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</si>
  <si>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</si>
  <si>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</si>
  <si>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</si>
  <si>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</si>
  <si>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</si>
  <si>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</si>
  <si>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</si>
  <si>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</si>
  <si>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</si>
  <si>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</si>
  <si>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</si>
  <si>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</si>
  <si>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</si>
  <si>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</si>
  <si>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</si>
  <si>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</si>
  <si>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</si>
  <si>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</si>
  <si>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</si>
  <si>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</si>
  <si>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</si>
  <si>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</si>
  <si>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</si>
  <si>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</si>
  <si>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</si>
  <si>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</si>
  <si>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</si>
  <si>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</si>
  <si>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</si>
  <si>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</si>
  <si>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</si>
  <si>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</si>
  <si>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</si>
  <si>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</si>
  <si>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</si>
  <si>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</si>
  <si>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</si>
  <si>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</si>
  <si>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</si>
  <si>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</si>
  <si>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</si>
  <si>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</si>
  <si>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</si>
  <si>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</si>
  <si>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</si>
  <si>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</si>
  <si>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</si>
  <si>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</si>
  <si>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</si>
  <si>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</si>
  <si>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</si>
  <si>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</si>
  <si>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</si>
  <si>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</si>
  <si>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</si>
  <si>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</si>
  <si>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</si>
  <si>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</si>
  <si>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</si>
  <si>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</si>
  <si>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</si>
  <si>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</si>
  <si>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</si>
  <si>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</si>
  <si>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</si>
  <si>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</si>
  <si>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</si>
  <si>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</si>
  <si>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</si>
  <si>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</si>
  <si>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</si>
  <si>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</si>
  <si>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</si>
  <si>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</si>
  <si>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</si>
  <si>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</si>
  <si>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</si>
  <si>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</si>
  <si>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</si>
  <si>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</si>
  <si>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</si>
  <si>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</si>
  <si>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</si>
  <si>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</si>
  <si>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</si>
  <si>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</si>
  <si>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</si>
  <si>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</si>
  <si>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</si>
  <si>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</si>
  <si>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</si>
  <si>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</si>
  <si>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</si>
  <si>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</si>
  <si>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</si>
  <si>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</si>
  <si>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</si>
  <si>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</si>
  <si>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</si>
  <si>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</si>
  <si>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</si>
  <si>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</si>
  <si>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</si>
  <si>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</si>
  <si>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</si>
  <si>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</si>
  <si>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</si>
  <si>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</si>
  <si>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</si>
  <si>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</si>
  <si>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</si>
  <si>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</si>
  <si>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</si>
  <si>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</si>
  <si>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</si>
  <si>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</si>
  <si>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</si>
  <si>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</si>
  <si>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</si>
  <si>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</si>
  <si>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</si>
  <si>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</si>
  <si>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</si>
  <si>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</si>
  <si>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</si>
  <si>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</si>
  <si>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</si>
  <si>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</si>
  <si>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</si>
  <si>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</si>
  <si>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</si>
  <si>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</si>
  <si>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</si>
  <si>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</si>
  <si>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</si>
  <si>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</si>
  <si>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</si>
  <si>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</si>
  <si>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</si>
  <si>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</si>
  <si>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</si>
  <si>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</si>
  <si>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</si>
  <si>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</si>
  <si>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</si>
  <si>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</si>
  <si>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</si>
  <si>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</si>
  <si>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</si>
  <si>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</si>
  <si>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</si>
  <si>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</si>
  <si>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</si>
  <si>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</si>
  <si>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</si>
  <si>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</si>
  <si>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</si>
  <si>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</si>
  <si>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</si>
  <si>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</si>
  <si>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</si>
  <si>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</si>
  <si>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</si>
  <si>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</si>
  <si>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</si>
  <si>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</si>
  <si>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</si>
  <si>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</si>
  <si>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</si>
  <si>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</si>
  <si>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</si>
  <si>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</si>
  <si>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</si>
  <si>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</si>
  <si>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</si>
  <si>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</si>
  <si>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</si>
  <si>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</si>
  <si>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</si>
  <si>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</si>
  <si>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</si>
  <si>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</si>
  <si>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</si>
  <si>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</si>
  <si>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</si>
  <si>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</si>
  <si>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</si>
  <si>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</si>
  <si>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</si>
  <si>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</si>
  <si>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</si>
  <si>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</si>
  <si>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</si>
  <si>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</si>
  <si>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</si>
  <si>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</si>
  <si>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</si>
  <si>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</si>
  <si>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</si>
  <si>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</si>
  <si>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</si>
  <si>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</si>
  <si>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</si>
  <si>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</si>
  <si>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</si>
  <si>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</si>
  <si>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</si>
  <si>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</si>
  <si>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</si>
  <si>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</si>
  <si>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</si>
  <si>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</si>
  <si>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</si>
  <si>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</si>
  <si>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</si>
  <si>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</si>
  <si>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</si>
  <si>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</si>
  <si>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</si>
  <si>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</si>
  <si>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</si>
  <si>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</si>
  <si>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</si>
  <si>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</si>
  <si>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</si>
  <si>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</si>
  <si>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</si>
  <si>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</si>
  <si>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</si>
  <si>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</si>
  <si>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</si>
  <si>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</si>
  <si>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</si>
  <si>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</si>
  <si>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</si>
  <si>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</si>
  <si>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</si>
  <si>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</si>
  <si>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</si>
  <si>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</si>
  <si>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</si>
  <si>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</si>
  <si>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</si>
  <si>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</si>
  <si>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</si>
  <si>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</si>
  <si>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</si>
  <si>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</si>
  <si>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</si>
  <si>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</si>
  <si>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</si>
  <si>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</si>
  <si>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</si>
  <si>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</si>
  <si>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</si>
  <si>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</si>
  <si>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</si>
  <si>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</si>
  <si>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</si>
  <si>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</si>
  <si>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</si>
  <si>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</si>
  <si>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</si>
  <si>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</si>
  <si>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</si>
  <si>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</si>
  <si>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</si>
  <si>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</si>
  <si>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</si>
  <si>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</si>
  <si>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</si>
  <si>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</si>
  <si>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</si>
  <si>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</si>
  <si>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</si>
  <si>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</si>
  <si>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</si>
  <si>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</si>
  <si>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</si>
  <si>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</si>
  <si>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</si>
  <si>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</si>
  <si>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</si>
  <si>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</si>
  <si>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</si>
  <si>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</si>
  <si>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</si>
  <si>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</si>
  <si>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</si>
  <si>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</si>
  <si>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</si>
  <si>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</si>
  <si>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</si>
  <si>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</si>
  <si>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</si>
  <si>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</si>
  <si>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</si>
  <si>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</si>
  <si>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</si>
  <si>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</si>
  <si>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</si>
  <si>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</si>
  <si>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</si>
  <si>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</si>
  <si>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</si>
  <si>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</si>
  <si>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</si>
  <si>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</si>
  <si>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</si>
  <si>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</si>
  <si>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</si>
  <si>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</si>
  <si>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</si>
  <si>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</si>
  <si>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</si>
  <si>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</si>
  <si>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</si>
  <si>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</si>
  <si>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</si>
  <si>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</si>
  <si>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</si>
  <si>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</si>
  <si>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</si>
  <si>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</si>
  <si>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</si>
  <si>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</si>
  <si>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</si>
  <si>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</si>
  <si>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</si>
  <si>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</si>
  <si>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</si>
  <si>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</si>
  <si>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</si>
  <si>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</si>
  <si>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</si>
  <si>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</si>
  <si>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</si>
  <si>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</si>
  <si>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</si>
  <si>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</si>
  <si>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</si>
  <si>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</si>
  <si>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</si>
  <si>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</si>
  <si>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</si>
  <si>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</si>
  <si>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</si>
  <si>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</si>
  <si>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</si>
  <si>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</si>
  <si>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</si>
  <si>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</si>
  <si>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</si>
  <si>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</si>
  <si>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</si>
  <si>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</si>
  <si>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</si>
  <si>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</si>
  <si>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</si>
  <si>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</si>
  <si>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</si>
  <si>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</si>
  <si>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</si>
  <si>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</si>
  <si>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</si>
  <si>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</si>
  <si>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</si>
  <si>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</si>
  <si>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</si>
  <si>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</si>
  <si>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</si>
  <si>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</si>
  <si>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</si>
  <si>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</si>
  <si>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</si>
  <si>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</si>
  <si>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</si>
  <si>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</si>
  <si>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</si>
  <si>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</si>
  <si>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</si>
  <si>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</si>
  <si>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</si>
  <si>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</si>
  <si>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</si>
  <si>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</si>
  <si>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</si>
  <si>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</si>
  <si>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</si>
  <si>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</si>
  <si>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</si>
  <si>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</si>
  <si>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</si>
  <si>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</si>
  <si>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</si>
  <si>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</si>
  <si>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</si>
  <si>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</si>
  <si>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</si>
  <si>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</si>
  <si>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</si>
  <si>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</si>
  <si>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</si>
  <si>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</si>
  <si>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</si>
  <si>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</si>
  <si>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</si>
  <si>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</si>
  <si>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</si>
  <si>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</si>
  <si>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</si>
  <si>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</si>
  <si>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</si>
  <si>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</si>
  <si>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</si>
  <si>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</si>
  <si>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</si>
  <si>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</si>
  <si>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</si>
  <si>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</si>
  <si>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</si>
  <si>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</si>
  <si>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</si>
  <si>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</si>
  <si>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</si>
  <si>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</si>
  <si>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</si>
  <si>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</si>
  <si>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</si>
  <si>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</si>
  <si>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</si>
  <si>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</si>
  <si>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</si>
  <si>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</si>
  <si>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</si>
  <si>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</si>
  <si>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</si>
  <si>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</si>
  <si>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</si>
  <si>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</si>
  <si>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</si>
  <si>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</si>
  <si>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</si>
  <si>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</si>
  <si>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</si>
  <si>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</si>
  <si>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</si>
  <si>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</si>
  <si>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</si>
  <si>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</si>
  <si>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</si>
  <si>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</si>
  <si>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</si>
  <si>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</si>
  <si>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</si>
  <si>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</si>
  <si>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</si>
  <si>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</si>
  <si>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</si>
  <si>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</si>
  <si>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</si>
  <si>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</si>
  <si>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</si>
  <si>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</si>
  <si>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</si>
  <si>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</si>
  <si>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</si>
  <si>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</si>
  <si>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</si>
  <si>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</si>
  <si>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</si>
  <si>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</si>
  <si>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</si>
  <si>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</si>
  <si>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</si>
  <si>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</si>
  <si>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</si>
  <si>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</si>
  <si>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</si>
  <si>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</si>
  <si>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</si>
  <si>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</si>
  <si>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</si>
  <si>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</si>
  <si>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</si>
  <si>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</si>
  <si>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</si>
  <si>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</si>
  <si>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</si>
  <si>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</si>
  <si>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</si>
  <si>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</si>
  <si>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</si>
  <si>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</si>
  <si>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</si>
  <si>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</si>
  <si>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</si>
  <si>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</si>
  <si>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</si>
  <si>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</si>
  <si>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</si>
  <si>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</si>
  <si>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</si>
  <si>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</si>
  <si>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</si>
  <si>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</si>
  <si>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</si>
  <si>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</si>
  <si>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</si>
  <si>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</si>
  <si>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</si>
  <si>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</si>
  <si>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</si>
  <si>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</si>
  <si>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</si>
  <si>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</si>
  <si>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</si>
  <si>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</si>
  <si>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</si>
  <si>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</si>
  <si>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</si>
  <si>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</si>
  <si>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</si>
  <si>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</si>
  <si>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</si>
  <si>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</si>
  <si>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</si>
  <si>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</si>
  <si>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</si>
  <si>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</si>
  <si>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</si>
  <si>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</si>
  <si>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</si>
  <si>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</si>
  <si>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</si>
  <si>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</si>
  <si>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</si>
  <si>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</si>
  <si>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</si>
  <si>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</si>
  <si>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</si>
  <si>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</si>
  <si>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</si>
  <si>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</si>
  <si>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</si>
  <si>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</si>
  <si>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</si>
  <si>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</si>
  <si>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</si>
  <si>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</si>
  <si>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</si>
  <si>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</si>
  <si>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</si>
  <si>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</si>
  <si>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</si>
  <si>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</si>
  <si>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</si>
  <si>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</si>
  <si>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</si>
  <si>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</si>
  <si>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</si>
  <si>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</si>
  <si>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</si>
  <si>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</si>
  <si>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</si>
  <si>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</si>
  <si>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</si>
  <si>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</si>
  <si>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</si>
  <si>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</si>
  <si>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</si>
  <si>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</si>
  <si>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</si>
  <si>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</si>
  <si>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</si>
  <si>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</si>
  <si>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</si>
  <si>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</si>
  <si>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</si>
  <si>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</si>
  <si>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</si>
  <si>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</si>
  <si>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</si>
  <si>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</si>
  <si>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</si>
  <si>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</si>
  <si>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</si>
  <si>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</si>
  <si>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</si>
  <si>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</si>
  <si>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</si>
  <si>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</si>
  <si>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</si>
  <si>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</si>
  <si>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</si>
  <si>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</si>
  <si>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</si>
  <si>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</si>
  <si>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</si>
  <si>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</si>
  <si>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</si>
  <si>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</si>
  <si>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</si>
  <si>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</si>
  <si>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</si>
  <si>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</si>
  <si>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</si>
  <si>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</si>
  <si>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</si>
  <si>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</si>
  <si>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</si>
  <si>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</si>
  <si>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</si>
  <si>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</si>
  <si>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</si>
  <si>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</si>
  <si>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</si>
  <si>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</si>
  <si>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</si>
  <si>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</si>
  <si>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</si>
  <si>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</si>
  <si>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</si>
  <si>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</si>
  <si>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</si>
  <si>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</si>
  <si>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</si>
  <si>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</si>
  <si>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</si>
  <si>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</si>
  <si>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</si>
  <si>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</si>
  <si>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</si>
  <si>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</si>
  <si>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</si>
  <si>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</si>
  <si>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</si>
  <si>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</si>
  <si>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</si>
  <si>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</si>
  <si>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</si>
  <si>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</si>
  <si>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</si>
  <si>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</si>
  <si>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</si>
  <si>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</si>
  <si>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</si>
  <si>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</si>
  <si>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</si>
  <si>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</si>
  <si>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</si>
  <si>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</si>
  <si>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</si>
  <si>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</si>
  <si>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</si>
  <si>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</si>
  <si>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</si>
  <si>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</si>
  <si>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</si>
  <si>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</si>
  <si>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</si>
  <si>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</si>
  <si>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</si>
  <si>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</si>
  <si>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</si>
  <si>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</si>
  <si>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</si>
  <si>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</si>
  <si>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</si>
  <si>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</si>
  <si>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</si>
  <si>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</si>
  <si>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</si>
  <si>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</si>
  <si>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</si>
  <si>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</si>
  <si>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</si>
  <si>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</si>
  <si>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</si>
  <si>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</si>
  <si>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</si>
  <si>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</si>
  <si>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</si>
  <si>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</si>
  <si>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</si>
  <si>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</si>
  <si>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</si>
  <si>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</si>
  <si>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</si>
  <si>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DOB</t>
  </si>
  <si>
    <t>Age</t>
  </si>
  <si>
    <t>Current date</t>
  </si>
  <si>
    <t>Mean</t>
  </si>
  <si>
    <t>Standard Error</t>
  </si>
  <si>
    <t>Median</t>
  </si>
  <si>
    <t>Mode</t>
  </si>
  <si>
    <t>Standard Deviation</t>
  </si>
  <si>
    <t>Sample Variance</t>
  </si>
  <si>
    <t>Kurtosis</t>
  </si>
  <si>
    <t>Skewness</t>
  </si>
  <si>
    <t>Range</t>
  </si>
  <si>
    <t>Minimum</t>
  </si>
  <si>
    <t>Maximum</t>
  </si>
  <si>
    <t>Sum</t>
  </si>
  <si>
    <t>Count</t>
  </si>
  <si>
    <t>finalWorth (millions)</t>
  </si>
  <si>
    <t>Row Labels</t>
  </si>
  <si>
    <t>Grand Total</t>
  </si>
  <si>
    <t>Top 10 Richest billionaires</t>
  </si>
  <si>
    <t>Billionaire count by age group</t>
  </si>
  <si>
    <t>30-40</t>
  </si>
  <si>
    <t>40-50</t>
  </si>
  <si>
    <t>50-60</t>
  </si>
  <si>
    <t>60-70</t>
  </si>
  <si>
    <t>70-80</t>
  </si>
  <si>
    <t>80-90</t>
  </si>
  <si>
    <t>90-100</t>
  </si>
  <si>
    <t>Billionaire count by country</t>
  </si>
  <si>
    <t>Number of billionairs</t>
  </si>
  <si>
    <t>Number by age group</t>
  </si>
  <si>
    <t>Total worth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</si>
</sst>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_-[$$-409]* #,##0_ ;_-[$$-409]* \-#,##0\ ;_-[$$-409]* &quot;-&quot;??_ ;_-@_ "/>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6" fillId="0" borderId="0" xfId="0" applyFont="1"/>
    <xf numFmtId="14" fontId="0" fillId="0" borderId="0" xfId="0" applyNumberFormat="1"/>
    <xf numFmtId="165" fontId="16" fillId="0" borderId="0" xfId="0" applyNumberFormat="1" applyFont="1"/>
    <xf numFmtId="165"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Done.xlsx]Pivots!PivotTable6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richest people in the world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w="1143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Total</c:v>
                </c:pt>
              </c:strCache>
            </c:strRef>
          </c:tx>
          <c:spPr>
            <a:solidFill>
              <a:schemeClr val="accent1">
                <a:lumMod val="40000"/>
                <a:lumOff val="60000"/>
              </a:schemeClr>
            </a:solidFill>
            <a:ln w="114300">
              <a:solidFill>
                <a:schemeClr val="accent1"/>
              </a:solidFill>
            </a:ln>
            <a:effectLst/>
          </c:spPr>
          <c:invertIfNegative val="0"/>
          <c:cat>
            <c:strRef>
              <c:f>Pivots!$D$4:$D$14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Pivots!$E$4:$E$14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3-7C49-4F18-9259-A8992CC4B7E1}"/>
            </c:ext>
          </c:extLst>
        </c:ser>
        <c:dLbls>
          <c:showLegendKey val="0"/>
          <c:showVal val="0"/>
          <c:showCatName val="0"/>
          <c:showSerName val="0"/>
          <c:showPercent val="0"/>
          <c:showBubbleSize val="0"/>
        </c:dLbls>
        <c:gapWidth val="180"/>
        <c:overlap val="-27"/>
        <c:axId val="1747446928"/>
        <c:axId val="1747445968"/>
      </c:barChart>
      <c:catAx>
        <c:axId val="174744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445968"/>
        <c:crosses val="autoZero"/>
        <c:auto val="1"/>
        <c:lblAlgn val="ctr"/>
        <c:lblOffset val="100"/>
        <c:noMultiLvlLbl val="0"/>
      </c:catAx>
      <c:valAx>
        <c:axId val="1747445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44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Done.xlsx]Pivots!PivotTable8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billionaires</a:t>
            </a:r>
            <a:r>
              <a:rPr lang="en-US" baseline="0"/>
              <a:t> by country</a:t>
            </a:r>
          </a:p>
        </c:rich>
      </c:tx>
      <c:layout>
        <c:manualLayout>
          <c:xMode val="edge"/>
          <c:yMode val="edge"/>
          <c:x val="0.2920191284183045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Pivots!$E$28</c:f>
              <c:strCache>
                <c:ptCount val="1"/>
                <c:pt idx="0">
                  <c:v>Total</c:v>
                </c:pt>
              </c:strCache>
            </c:strRef>
          </c:tx>
          <c:spPr>
            <a:solidFill>
              <a:schemeClr val="accent1"/>
            </a:solidFill>
            <a:ln>
              <a:noFill/>
            </a:ln>
            <a:effectLst/>
          </c:spPr>
          <c:invertIfNegative val="0"/>
          <c:cat>
            <c:strRef>
              <c:f>Pivots!$D$29:$D$68</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Pivots!$E$29:$E$68</c:f>
              <c:numCache>
                <c:formatCode>General</c:formatCode>
                <c:ptCount val="39"/>
                <c:pt idx="0">
                  <c:v>8</c:v>
                </c:pt>
                <c:pt idx="1">
                  <c:v>5</c:v>
                </c:pt>
                <c:pt idx="2">
                  <c:v>1</c:v>
                </c:pt>
                <c:pt idx="3">
                  <c:v>1</c:v>
                </c:pt>
                <c:pt idx="4">
                  <c:v>6</c:v>
                </c:pt>
                <c:pt idx="5">
                  <c:v>1</c:v>
                </c:pt>
                <c:pt idx="6">
                  <c:v>73</c:v>
                </c:pt>
                <c:pt idx="7">
                  <c:v>1</c:v>
                </c:pt>
                <c:pt idx="8">
                  <c:v>3</c:v>
                </c:pt>
                <c:pt idx="9">
                  <c:v>6</c:v>
                </c:pt>
                <c:pt idx="10">
                  <c:v>1</c:v>
                </c:pt>
                <c:pt idx="11">
                  <c:v>16</c:v>
                </c:pt>
                <c:pt idx="12">
                  <c:v>20</c:v>
                </c:pt>
                <c:pt idx="13">
                  <c:v>20</c:v>
                </c:pt>
                <c:pt idx="14">
                  <c:v>4</c:v>
                </c:pt>
                <c:pt idx="15">
                  <c:v>4</c:v>
                </c:pt>
                <c:pt idx="16">
                  <c:v>7</c:v>
                </c:pt>
                <c:pt idx="17">
                  <c:v>4</c:v>
                </c:pt>
                <c:pt idx="18">
                  <c:v>1</c:v>
                </c:pt>
                <c:pt idx="19">
                  <c:v>4</c:v>
                </c:pt>
                <c:pt idx="20">
                  <c:v>1</c:v>
                </c:pt>
                <c:pt idx="21">
                  <c:v>1</c:v>
                </c:pt>
                <c:pt idx="22">
                  <c:v>3</c:v>
                </c:pt>
                <c:pt idx="23">
                  <c:v>1</c:v>
                </c:pt>
                <c:pt idx="24">
                  <c:v>2</c:v>
                </c:pt>
                <c:pt idx="25">
                  <c:v>1</c:v>
                </c:pt>
                <c:pt idx="26">
                  <c:v>17</c:v>
                </c:pt>
                <c:pt idx="27">
                  <c:v>7</c:v>
                </c:pt>
                <c:pt idx="28">
                  <c:v>2</c:v>
                </c:pt>
                <c:pt idx="29">
                  <c:v>3</c:v>
                </c:pt>
                <c:pt idx="30">
                  <c:v>2</c:v>
                </c:pt>
                <c:pt idx="31">
                  <c:v>6</c:v>
                </c:pt>
                <c:pt idx="32">
                  <c:v>18</c:v>
                </c:pt>
                <c:pt idx="33">
                  <c:v>5</c:v>
                </c:pt>
                <c:pt idx="34">
                  <c:v>1</c:v>
                </c:pt>
                <c:pt idx="35">
                  <c:v>1</c:v>
                </c:pt>
                <c:pt idx="36">
                  <c:v>6</c:v>
                </c:pt>
                <c:pt idx="37">
                  <c:v>22</c:v>
                </c:pt>
                <c:pt idx="38">
                  <c:v>190</c:v>
                </c:pt>
              </c:numCache>
            </c:numRef>
          </c:val>
          <c:extLst>
            <c:ext xmlns:c16="http://schemas.microsoft.com/office/drawing/2014/chart" uri="{C3380CC4-5D6E-409C-BE32-E72D297353CC}">
              <c16:uniqueId val="{00000000-C40F-4D0E-8294-390962A940A9}"/>
            </c:ext>
          </c:extLst>
        </c:ser>
        <c:dLbls>
          <c:showLegendKey val="0"/>
          <c:showVal val="0"/>
          <c:showCatName val="0"/>
          <c:showSerName val="0"/>
          <c:showPercent val="0"/>
          <c:showBubbleSize val="0"/>
        </c:dLbls>
        <c:gapWidth val="219"/>
        <c:overlap val="-27"/>
        <c:axId val="694909071"/>
        <c:axId val="694909551"/>
      </c:barChart>
      <c:catAx>
        <c:axId val="69490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909551"/>
        <c:crosses val="autoZero"/>
        <c:auto val="1"/>
        <c:lblAlgn val="ctr"/>
        <c:lblOffset val="100"/>
        <c:noMultiLvlLbl val="0"/>
      </c:catAx>
      <c:valAx>
        <c:axId val="69490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90907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Done.xlsx]Pivots!PivotTable7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billionaires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31394061936289E-2"/>
          <c:y val="0.18270935960591136"/>
          <c:w val="0.85890486486591666"/>
          <c:h val="0.70301345952445604"/>
        </c:manualLayout>
      </c:layout>
      <c:barChart>
        <c:barDir val="col"/>
        <c:grouping val="clustered"/>
        <c:varyColors val="0"/>
        <c:ser>
          <c:idx val="0"/>
          <c:order val="0"/>
          <c:tx>
            <c:strRef>
              <c:f>Pivots!$E$17</c:f>
              <c:strCache>
                <c:ptCount val="1"/>
                <c:pt idx="0">
                  <c:v>Total</c:v>
                </c:pt>
              </c:strCache>
            </c:strRef>
          </c:tx>
          <c:spPr>
            <a:solidFill>
              <a:schemeClr val="accent1"/>
            </a:solidFill>
            <a:ln>
              <a:noFill/>
            </a:ln>
            <a:effectLst/>
          </c:spPr>
          <c:invertIfNegative val="0"/>
          <c:cat>
            <c:strRef>
              <c:f>Pivots!$D$18:$D$25</c:f>
              <c:strCache>
                <c:ptCount val="7"/>
                <c:pt idx="0">
                  <c:v>30-40</c:v>
                </c:pt>
                <c:pt idx="1">
                  <c:v>40-50</c:v>
                </c:pt>
                <c:pt idx="2">
                  <c:v>50-60</c:v>
                </c:pt>
                <c:pt idx="3">
                  <c:v>60-70</c:v>
                </c:pt>
                <c:pt idx="4">
                  <c:v>70-80</c:v>
                </c:pt>
                <c:pt idx="5">
                  <c:v>80-90</c:v>
                </c:pt>
                <c:pt idx="6">
                  <c:v>90-100</c:v>
                </c:pt>
              </c:strCache>
            </c:strRef>
          </c:cat>
          <c:val>
            <c:numRef>
              <c:f>Pivots!$E$18:$E$25</c:f>
              <c:numCache>
                <c:formatCode>General</c:formatCode>
                <c:ptCount val="7"/>
                <c:pt idx="0">
                  <c:v>4</c:v>
                </c:pt>
                <c:pt idx="1">
                  <c:v>25</c:v>
                </c:pt>
                <c:pt idx="2">
                  <c:v>72</c:v>
                </c:pt>
                <c:pt idx="3">
                  <c:v>126</c:v>
                </c:pt>
                <c:pt idx="4">
                  <c:v>117</c:v>
                </c:pt>
                <c:pt idx="5">
                  <c:v>97</c:v>
                </c:pt>
                <c:pt idx="6">
                  <c:v>34</c:v>
                </c:pt>
              </c:numCache>
            </c:numRef>
          </c:val>
          <c:extLst>
            <c:ext xmlns:c16="http://schemas.microsoft.com/office/drawing/2014/chart" uri="{C3380CC4-5D6E-409C-BE32-E72D297353CC}">
              <c16:uniqueId val="{00000000-6B1E-4327-8157-A41E8DCCD7F3}"/>
            </c:ext>
          </c:extLst>
        </c:ser>
        <c:dLbls>
          <c:showLegendKey val="0"/>
          <c:showVal val="0"/>
          <c:showCatName val="0"/>
          <c:showSerName val="0"/>
          <c:showPercent val="0"/>
          <c:showBubbleSize val="0"/>
        </c:dLbls>
        <c:gapWidth val="219"/>
        <c:overlap val="-27"/>
        <c:axId val="1749962048"/>
        <c:axId val="1749964928"/>
      </c:barChart>
      <c:catAx>
        <c:axId val="174996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64928"/>
        <c:crosses val="autoZero"/>
        <c:auto val="1"/>
        <c:lblAlgn val="ctr"/>
        <c:lblOffset val="100"/>
        <c:noMultiLvlLbl val="0"/>
      </c:catAx>
      <c:valAx>
        <c:axId val="174996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6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14</xdr:row>
      <xdr:rowOff>99061</xdr:rowOff>
    </xdr:from>
    <xdr:to>
      <xdr:col>2</xdr:col>
      <xdr:colOff>495300</xdr:colOff>
      <xdr:row>19</xdr:row>
      <xdr:rowOff>30481</xdr:rowOff>
    </xdr:to>
    <mc:AlternateContent xmlns:mc="http://schemas.openxmlformats.org/markup-compatibility/2006" xmlns:a14="http://schemas.microsoft.com/office/drawing/2010/main">
      <mc:Choice Requires="a14">
        <xdr:graphicFrame macro="">
          <xdr:nvGraphicFramePr>
            <xdr:cNvPr id="3" name="selfMade">
              <a:extLst>
                <a:ext uri="{FF2B5EF4-FFF2-40B4-BE49-F238E27FC236}">
                  <a16:creationId xmlns:a16="http://schemas.microsoft.com/office/drawing/2014/main" id="{32A1540E-3EDF-6EE3-C42D-672A3A4AAD82}"/>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7620" y="2855960"/>
              <a:ext cx="1823320" cy="91602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144781</xdr:rowOff>
    </xdr:from>
    <xdr:to>
      <xdr:col>2</xdr:col>
      <xdr:colOff>487680</xdr:colOff>
      <xdr:row>24</xdr:row>
      <xdr:rowOff>99061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C50F4F8-04C8-73C6-5256-92955F45AD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886287"/>
              <a:ext cx="1823320" cy="93888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22861</xdr:rowOff>
    </xdr:from>
    <xdr:to>
      <xdr:col>2</xdr:col>
      <xdr:colOff>487680</xdr:colOff>
      <xdr:row>14</xdr:row>
      <xdr:rowOff>15241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CC592237-DF52-481A-9EFE-3DA84D83E6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16704"/>
              <a:ext cx="1823320" cy="235543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186690</xdr:colOff>
      <xdr:row>0</xdr:row>
      <xdr:rowOff>48846</xdr:rowOff>
    </xdr:from>
    <xdr:to>
      <xdr:col>17</xdr:col>
      <xdr:colOff>19538</xdr:colOff>
      <xdr:row>13</xdr:row>
      <xdr:rowOff>68385</xdr:rowOff>
    </xdr:to>
    <xdr:graphicFrame macro="">
      <xdr:nvGraphicFramePr>
        <xdr:cNvPr id="6" name="Chart 5">
          <a:extLst>
            <a:ext uri="{FF2B5EF4-FFF2-40B4-BE49-F238E27FC236}">
              <a16:creationId xmlns:a16="http://schemas.microsoft.com/office/drawing/2014/main" id="{9CA6948C-A39B-02A9-9B75-E988CCE01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172621</xdr:colOff>
      <xdr:row>26</xdr:row>
      <xdr:rowOff>193627</xdr:rowOff>
    </xdr:from>
    <xdr:to>
      <xdr:col>18</xdr:col>
      <xdr:colOff>244231</xdr:colOff>
      <xdr:row>46</xdr:row>
      <xdr:rowOff>132668</xdr:rowOff>
    </xdr:to>
    <xdr:graphicFrame macro="">
      <xdr:nvGraphicFramePr>
        <xdr:cNvPr id="8" name="Chart 7">
          <a:extLst>
            <a:ext uri="{FF2B5EF4-FFF2-40B4-BE49-F238E27FC236}">
              <a16:creationId xmlns:a16="http://schemas.microsoft.com/office/drawing/2014/main" id="{320B6A23-DE72-2D7C-7248-BB0E430FC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185615</xdr:colOff>
      <xdr:row>14</xdr:row>
      <xdr:rowOff>10745</xdr:rowOff>
    </xdr:from>
    <xdr:to>
      <xdr:col>18</xdr:col>
      <xdr:colOff>190500</xdr:colOff>
      <xdr:row>26</xdr:row>
      <xdr:rowOff>68384</xdr:rowOff>
    </xdr:to>
    <xdr:graphicFrame macro="">
      <xdr:nvGraphicFramePr>
        <xdr:cNvPr id="9" name="Chart 8">
          <a:extLst>
            <a:ext uri="{FF2B5EF4-FFF2-40B4-BE49-F238E27FC236}">
              <a16:creationId xmlns:a16="http://schemas.microsoft.com/office/drawing/2014/main" id="{64CF8115-AC80-7236-CA53-8DB50B5A3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hanti Jojo" refreshedDate="46056.02959189815" createdVersion="8" refreshedVersion="8" minRefreshableVersion="3" recordCount="475" xr:uid="{1827AF5A-A983-433A-8F01-5EE0E2196258}">
  <cacheSource type="worksheet">
    <worksheetSource ref="A1:X476" sheet="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ount="394">
        <s v="Arnault"/>
        <s v="Musk"/>
        <s v="Bezos"/>
        <s v="Ellison"/>
        <s v="Buffett"/>
        <s v="Gates"/>
        <s v="Bloomberg"/>
        <s v="Slim Helu"/>
        <s v="Ambani"/>
        <s v="Ballmer"/>
        <s v="Bettencourt Meyers"/>
        <s v="Page"/>
        <s v="Ortega"/>
        <s v="Brin"/>
        <s v="Zhong"/>
        <s v="Zuckerberg"/>
        <s v="Koch"/>
        <s v="Walton"/>
        <s v="Thomson"/>
        <s v="Dell"/>
        <s v="Adani"/>
        <s v="Knight"/>
        <s v="Zhang"/>
        <s v="Schwarz"/>
        <s v="Pinault"/>
        <s v="Kuehne"/>
        <s v="Ferrero"/>
        <s v="Mars"/>
        <s v="Ma"/>
        <s v="Adelson"/>
        <s v="Griffin"/>
        <s v="Mateschitz"/>
        <s v="Zeng"/>
        <s v="Yanai"/>
        <s v="Blavatnik"/>
        <s v="Wertheimer"/>
        <s v="Aponte"/>
        <s v="Aponte-Diamant"/>
        <s v="Huang"/>
        <s v="Wuerth"/>
        <s v="Yass"/>
        <s v="Simons"/>
        <s v="Schwarzman"/>
        <s v="Klatten"/>
        <s v="Rinehart"/>
        <s v="Ding"/>
        <s v="Larrea Mota Velasco"/>
        <s v="Nadar"/>
        <s v="Low Tuck"/>
        <s v="Peterffy"/>
        <s v="Melnichenko"/>
        <s v="Quandt"/>
        <s v="Scott"/>
        <s v="Hartono"/>
        <s v="Potanin"/>
        <s v="He"/>
        <s v="Fontbona"/>
        <s v="Ratcliffe"/>
        <s v="Poonawalla"/>
        <s v="Son"/>
        <s v="Lisin"/>
        <s v="Besnier"/>
        <s v="Johnson"/>
        <s v="Mikhelson"/>
        <s v="Wang"/>
        <s v="Lauder"/>
        <s v="Takizaki"/>
        <s v="Mordashov"/>
        <s v="Alekperov"/>
        <s v="Frist"/>
        <s v="Forrest"/>
        <s v="Dalio"/>
        <s v="Li"/>
        <s v="Qin"/>
        <s v="Hamm"/>
        <s v="Tepper"/>
        <s v="Timchenko"/>
        <s v="Gilbert"/>
        <s v="Mittal"/>
        <s v="Cohen"/>
        <s v="Icahn"/>
        <s v="Jindal"/>
        <s v="Bren"/>
        <s v="Menard"/>
        <s v="Murdoch"/>
        <s v="Safra"/>
        <s v="Albrecht"/>
        <s v="Kellnerova"/>
        <s v="Persson"/>
        <s v="Schmidt"/>
        <s v="Platt"/>
        <s v="Pang"/>
        <s v="Lemann"/>
        <s v="Shanghvi"/>
        <s v="Pera"/>
        <s v="Damani"/>
        <s v="Chearavanont"/>
        <s v="Green"/>
        <s v="Sirivadhanabhakdi"/>
        <s v="de Carvalho-Heineken"/>
        <s v="Xu"/>
        <s v="Wei"/>
        <s v="Goh"/>
        <s v="Birla"/>
        <s v="Dangote"/>
        <s v="Ofer"/>
        <s v="Chen"/>
        <s v="Fredriksen"/>
        <s v="Hendricks"/>
        <s v="Koum"/>
        <s v="Jones"/>
        <s v="Kaiser"/>
        <s v="Lu"/>
        <s v="Triguboff"/>
        <s v="Kotak"/>
        <s v="Kroenke"/>
        <s v="Fridman"/>
        <s v="Ratanavadi"/>
        <s v="Dang"/>
        <s v="Jiang"/>
        <s v="Khan"/>
        <s v="Powell Jobs"/>
        <s v="Ross"/>
        <s v="Durov"/>
        <s v="Struengmann"/>
        <s v="Liu"/>
        <s v="Rubin"/>
        <s v="Englander"/>
        <s v="Kantor"/>
        <s v="Pratt"/>
        <s v="Prokhorov"/>
        <s v="Armani"/>
        <s v="Rupert"/>
        <s v="Anschutz"/>
        <s v="Love"/>
        <s v="Salinas Pliego"/>
        <s v="Newhouse"/>
        <s v="Kraft"/>
        <s v="Telles"/>
        <s v="Kerimov &amp; family"/>
        <s v="Zhao"/>
        <s v="Beal"/>
        <s v="Cannon-Brookes"/>
        <s v="Cook"/>
        <s v="Duffield"/>
        <s v="Hildebrand"/>
        <s v="Rashnikov"/>
        <s v="Saverin"/>
        <s v="Schaeffler"/>
        <s v="Farquhar"/>
        <s v="Quek"/>
        <s v="Wu"/>
        <s v="Stephens"/>
        <s v="Puech"/>
        <s v="Saadé"/>
        <s v="Saadé Zeenny"/>
        <s v="Schorling"/>
        <s v="Guriev &amp; family"/>
        <s v="Kim"/>
        <s v="Lei"/>
        <s v="Loh"/>
        <s v="Sun"/>
        <s v="Jin"/>
        <s v="Luo"/>
        <s v="Bolloré"/>
        <s v="Pattison"/>
        <s v="Bertarelli"/>
        <s v="Chesky"/>
        <s v="Dyson"/>
        <s v="Abramovich"/>
        <s v="Ax:son Johnson"/>
        <s v="Kretinsky"/>
        <s v="Malone"/>
        <s v="Premji"/>
        <s v="Schwab"/>
        <s v="Smidt"/>
        <s v="Cheriton"/>
        <s v="Glasenberg"/>
        <s v="Otto"/>
        <s v="von Mandl"/>
        <s v="Rausing"/>
        <s v="Bakalchuk"/>
        <s v="Doerr"/>
        <s v="Moskovitz"/>
        <s v="Omidyar"/>
        <s v="Pei"/>
        <s v="Perrodo"/>
        <s v="Black"/>
        <s v="Hart"/>
        <s v="Jaipuria"/>
        <s v="Plattner"/>
        <s v="Sicupira"/>
        <s v="Villar"/>
        <s v="von Bechtolsheim"/>
        <s v="Coleman"/>
        <s v="Kennedy"/>
        <s v="Oppenheimer"/>
        <s v="Parry-Okeden"/>
        <s v="Zheng"/>
        <s v="Morris"/>
        <s v="Rabiu"/>
        <s v="Roberts"/>
        <s v="Singh"/>
        <s v="Yang"/>
        <s v="Dassault"/>
        <s v="Fertitta"/>
        <s v="Habert-Dassault"/>
        <s v="Komarek"/>
        <s v="Blecharczyk"/>
        <s v="Fedun"/>
        <s v="Marcus"/>
        <s v="Ryan"/>
        <s v="Smith"/>
        <s v="Tykac"/>
        <s v="Bravo"/>
        <s v="Laurie"/>
        <s v="Lee"/>
        <s v="Musallam"/>
        <s v="Shaw"/>
        <s v="Skoch &amp; family"/>
        <s v="Stumpf"/>
        <s v="Commisso"/>
        <s v="Qi"/>
        <s v="Yao"/>
        <s v="Besnier Beauvalot"/>
        <s v="Geffen"/>
        <s v="Samueli"/>
        <s v="Schmieding"/>
        <s v="Tollefsen"/>
        <s v="Cao"/>
        <s v="Chudgar"/>
        <s v="Currie"/>
        <s v="Gebbia"/>
        <s v="Ng"/>
        <s v="Reece"/>
        <s v="Stern"/>
        <s v="Blank"/>
        <s v="Butt"/>
        <s v="Kravis"/>
        <s v="Goodnight"/>
        <s v="Lohia"/>
        <s v="Rales"/>
        <s v="Sawiris"/>
        <s v="Stine"/>
        <s v="Bangur"/>
        <s v="Makhmudov"/>
        <s v="Povlsen"/>
        <s v="Razon Jr."/>
        <s v="Dantchik"/>
        <s v="Greene"/>
        <s v="Hankey"/>
        <s v="Kinder"/>
        <s v="Pousaz"/>
        <s v="Takahara"/>
        <s v="Zong"/>
        <s v="Faulkner"/>
        <s v="Graf"/>
        <s v="Gustavson"/>
        <s v="Liang"/>
        <s v="Paulsen"/>
        <s v="Wee"/>
        <s v="Benioff"/>
        <s v="Bukhman"/>
        <s v="Dangermond"/>
        <s v="Dani"/>
        <s v="Lauren"/>
        <s v="Mistry"/>
        <s v="Reyes"/>
        <s v="Vultaggio"/>
        <s v="Broad"/>
        <s v="Keinath"/>
        <s v="Laffont"/>
        <s v="Olenicoff"/>
        <s v="Ortega Mera"/>
        <s v="Stryker"/>
        <s v="Avara"/>
        <s v="Berlusconi"/>
        <s v="Coates"/>
        <s v="Duncan"/>
        <s v="Frantz"/>
        <s v="Milner"/>
        <s v="Moore"/>
        <s v="Overdeck"/>
        <s v="Siegel"/>
        <s v="Vekselberg"/>
        <s v="Williams"/>
        <s v="Fisher"/>
        <s v="Hohn"/>
        <s v="Kristiansen"/>
        <s v="Landini Aleotti"/>
        <s v="Lin"/>
        <s v="Martullo-Blocher"/>
        <s v="Niel"/>
        <s v="Pegula"/>
        <s v="Roski"/>
        <s v="Sobrato"/>
        <s v="Soros"/>
        <s v="Thinggaard"/>
        <s v="Tu"/>
        <s v="Blocher"/>
        <s v="Cathy"/>
        <s v="Cathy White"/>
        <s v="Kovner"/>
        <s v="Nicholas"/>
        <s v="Thiele"/>
        <s v="Bonderman"/>
        <s v="French Gates"/>
        <s v="Lerner"/>
        <s v="Reuben"/>
        <s v="Vitek"/>
        <s v="Bennet"/>
        <s v="Bisciotti"/>
        <s v="Druckenmiller"/>
        <s v="Jian"/>
        <s v="Kuzmichev"/>
        <s v="Sarmiento"/>
        <s v="Washington"/>
        <s v="Bamford"/>
        <s v="Gao"/>
        <s v="Grayken"/>
        <s v="Merieux"/>
        <s v="Aramburuzabala"/>
        <s v="Douglas"/>
        <s v="Goldschmeding"/>
        <s v="Ruan"/>
        <s v="Solowow"/>
        <s v="Adenuga"/>
        <s v="Gores"/>
        <s v="Herz"/>
        <s v="Abramov"/>
        <s v="Bluhm"/>
        <s v="Bouchard"/>
        <s v="Chaudhry"/>
        <s v="Jiaravanon"/>
        <s v="Lowy"/>
        <s v="Milken"/>
        <s v="Steward"/>
        <s v="Wexner"/>
        <s v="Cai"/>
        <s v="Chiaravanont"/>
        <s v="Halvorsen"/>
        <s v="Ressler"/>
        <s v="Tsai"/>
        <s v="Harris"/>
        <s v="Louis-Hansen"/>
        <s v="Soon-Shiong"/>
        <s v="Akhmetov"/>
        <s v="Brown"/>
        <s v="Irving"/>
        <s v="Lundberg"/>
        <s v="Schmidheiny"/>
        <s v="Ziff"/>
        <s v="Hunt"/>
        <s v="Lai"/>
        <s v="Lal"/>
        <s v="Langone"/>
        <s v="Pritzker"/>
        <s v="Rowling"/>
        <s v="Sagi"/>
        <s v="Seo"/>
        <s v="Arison"/>
        <s v="Chambers"/>
        <s v="Collison"/>
        <s v="Emmerson"/>
        <s v="Ferrari"/>
        <s v="Friedkin"/>
        <s v="Marguerre"/>
        <s v="Merckle"/>
        <s v="Rayner"/>
        <s v="Singer"/>
        <s v="Stevanato"/>
        <s v="Taylor"/>
        <s v="White"/>
        <s v="Bertelli"/>
        <s v="Choksi"/>
        <s v="Ishbia"/>
        <s v="Koguan"/>
        <s v="Miao"/>
        <s v="Pieper"/>
        <s v="Prada"/>
        <s v="Reimann"/>
        <s v="Reimann-Andersen"/>
        <s v="Reimann-Haas"/>
        <s v="Boehly"/>
        <s v="Caruso"/>
        <s v="Erdemoglu"/>
        <s v="Leone"/>
        <s v="Pangestu"/>
        <s v="Resnick"/>
        <s v="Rollins"/>
        <s v="Walter"/>
        <s v="Wanek"/>
        <s v="Wesjohann"/>
        <s v="Yusuff Ali"/>
      </sharedItems>
    </cacheField>
    <cacheField name="firstName" numFmtId="0">
      <sharedItems count="360">
        <s v="Bernard"/>
        <s v="Elon"/>
        <s v="Jeff"/>
        <s v="Larry"/>
        <s v="Warren"/>
        <s v="Bill"/>
        <s v="Michael"/>
        <s v="Carlos"/>
        <s v="Mukesh"/>
        <s v="Steve"/>
        <s v="Francoise"/>
        <s v="Amancio"/>
        <s v="Sergey"/>
        <s v="Shanshan"/>
        <s v="Mark"/>
        <s v="Charles"/>
        <s v="Julia"/>
        <s v="Jim"/>
        <s v="Rob"/>
        <s v="Alice"/>
        <s v="David"/>
        <s v="Gautam"/>
        <s v="Phil"/>
        <s v="Yiming"/>
        <s v="Dieter"/>
        <s v="François"/>
        <s v="Klaus-Michael"/>
        <s v="Giovanni"/>
        <s v="Jacqueline"/>
        <s v="John"/>
        <s v="Huateng"/>
        <s v="Miriam"/>
        <s v="Ken"/>
        <s v="Robin"/>
        <s v="Tadashi"/>
        <s v="Len"/>
        <s v="Alain"/>
        <s v="Gerard"/>
        <s v="Gianluigi"/>
        <s v="Rafaela"/>
        <s v="Colin Zheng"/>
        <s v="Reinhold"/>
        <s v="Stephen"/>
        <s v="Susanne"/>
        <s v="Gina"/>
        <s v="William"/>
        <s v="Germán"/>
        <s v="Shiv"/>
        <s v="Kwong"/>
        <s v="Thomas"/>
        <s v="Andrey"/>
        <s v="Stefan"/>
        <s v="MacKenzie"/>
        <s v="R. Budi"/>
        <s v="Vladimir"/>
        <s v="Jack"/>
        <s v="Xiangjian"/>
        <s v="Iris"/>
        <s v="James"/>
        <s v="Cyrus"/>
        <s v="Masayoshi"/>
        <s v="Emmanuel"/>
        <s v="Abigail"/>
        <s v="Leonid"/>
        <s v="Lukas"/>
        <s v="Wei"/>
        <s v="Jensen"/>
        <s v="Leonard"/>
        <s v="Takemitsu"/>
        <s v="Alexey"/>
        <s v="Vagit"/>
        <s v="Andrew"/>
        <s v="Ray"/>
        <s v="Eric"/>
        <s v="Wenyin"/>
        <s v="Yinglin"/>
        <s v="Chuanfu"/>
        <s v="Harold"/>
        <s v="Gennady"/>
        <s v="Daniel"/>
        <s v="Lakshmi"/>
        <s v="Carl"/>
        <s v="Savitri"/>
        <s v="Donald"/>
        <s v="Rupert"/>
        <s v="Vicky"/>
        <s v="Theo"/>
        <s v="Renata"/>
        <s v="Xiting"/>
        <s v="Kang"/>
        <s v="Jorge Paulo"/>
        <s v="Dilip"/>
        <s v="Robert"/>
        <s v="Radhakishan"/>
        <s v="Shilin"/>
        <s v="Dhanin"/>
        <s v="Charoen"/>
        <s v="Charlene"/>
        <s v="Hang"/>
        <s v="Jianjun"/>
        <s v="Cheng Liang"/>
        <s v="Kumar"/>
        <s v="Aliko"/>
        <s v="Idan"/>
        <s v="Bang"/>
        <s v="Diane"/>
        <s v="Jan"/>
        <s v="Jerry"/>
        <s v="George"/>
        <s v="Xiangyang"/>
        <s v="Harry"/>
        <s v="Uday"/>
        <s v="Stanley"/>
        <s v="Mikhail"/>
        <s v="Sarath"/>
        <s v="Yanbao"/>
        <s v="Rensheng"/>
        <s v="Shahid"/>
        <s v="Laurene"/>
        <s v="Pavel"/>
        <s v="Andreas"/>
        <s v="Hanyuan"/>
        <s v="Israel"/>
        <s v="Viatcheslav"/>
        <s v="Anthony"/>
        <s v="Giorgio"/>
        <s v="Johann"/>
        <s v="Zhidong"/>
        <s v="Philip"/>
        <s v="Judy"/>
        <s v="Ricardo"/>
        <s v="Marcel Herrmann"/>
        <s v="Suleiman"/>
        <s v="Sky"/>
        <s v="Changpeng"/>
        <s v="Mike"/>
        <s v="Jeffery"/>
        <s v="Viktor"/>
        <s v="Eduardo"/>
        <s v="Georg"/>
        <s v="Christy"/>
        <s v="Scott"/>
        <s v="Leng Chan"/>
        <s v="Yajun"/>
        <s v="Autry"/>
        <s v="Yongxing"/>
        <s v="Vinod"/>
        <s v="Nicolas"/>
        <s v="Jacques"/>
        <s v="Rodolphe"/>
        <s v="Tanya"/>
        <s v="Melker"/>
        <s v="Andrei"/>
        <s v="Jun"/>
        <s v="Friedhelm"/>
        <s v="Piaoyang"/>
        <s v="Rick"/>
        <s v="Baofang"/>
        <s v="Liguo"/>
        <s v="Marijke"/>
        <s v="Pamela"/>
        <s v="Valerie"/>
        <s v="Victoria"/>
        <s v="Vincent"/>
        <s v="Ernesto"/>
        <s v="Xing"/>
        <s v="Brian"/>
        <s v="Roman"/>
        <s v="Antonia"/>
        <s v="Azim"/>
        <s v="Ivan"/>
        <s v="Alexander"/>
        <s v="Liping"/>
        <s v="Finn"/>
        <s v="Jorn"/>
        <s v="Kirsten"/>
        <s v="Tatyana"/>
        <s v="Richard"/>
        <s v="Dustin"/>
        <s v="Pierre"/>
        <s v="Zhenhua"/>
        <s v="Carrie"/>
        <s v="Jianhua"/>
        <s v="Leon"/>
        <s v="Graeme"/>
        <s v="Ravi"/>
        <s v="Hasso"/>
        <s v="Carlos Alberto"/>
        <s v="Manuel"/>
        <s v="Chase"/>
        <s v="Ann Walton"/>
        <s v="Zhenguo"/>
        <s v="Nicky"/>
        <s v="Blair"/>
        <s v="Shuliang"/>
        <s v="German"/>
        <s v="Abdulsamad"/>
        <s v="Kushal Pal"/>
        <s v="Jianlin"/>
        <s v="Huiyan"/>
        <s v="Laurent"/>
        <s v="Thierry"/>
        <s v="Tilman"/>
        <s v="Marie-Hélène"/>
        <s v="Karel"/>
        <s v="Nathan"/>
        <s v="Patrick"/>
        <s v="Robert F."/>
        <s v="Orlando"/>
        <s v="Shizhong"/>
        <s v="Nancy Walton"/>
        <s v="Jay Y."/>
        <s v="Ramzi"/>
        <s v="Rocco"/>
        <s v="Shuirong"/>
        <s v="Shi"/>
        <s v="Liangsong"/>
        <s v="Jean-Michel"/>
        <s v="Marie"/>
        <s v="Yonghao"/>
        <s v="Henry"/>
        <s v="Ivar"/>
        <s v="Renxian"/>
        <s v="Hasmukh"/>
        <s v="Joe"/>
        <s v="Huijuan"/>
        <s v="Arthur"/>
        <s v="Shijia"/>
        <s v="Paul Tudor"/>
        <s v="Yong"/>
        <s v="Sri Prakash"/>
        <s v="Jianrong"/>
        <s v="Steven"/>
        <s v="Nassef"/>
        <s v="Benu Gopal"/>
        <s v="Iskander"/>
        <s v="Anders Holch"/>
        <s v="Enrique"/>
        <s v="Laichun"/>
        <s v="Don"/>
        <s v="Guillaume"/>
        <s v="Takahisa"/>
        <s v="Qinghou"/>
        <s v="Tamara"/>
        <s v="Wengen"/>
        <s v="Frederik"/>
        <s v="Cho Yaw"/>
        <s v="Hejun"/>
        <s v="Marc"/>
        <s v="Dmitri"/>
        <s v="Igor"/>
        <s v="Ashwin"/>
        <s v="Ralph"/>
        <s v="Rohiqa Cyrus"/>
        <s v="Shapoor"/>
        <s v="J. Christopher"/>
        <s v="Jude"/>
        <s v="Edythe"/>
        <s v="Pauline MacMillan"/>
        <s v="Philippe"/>
        <s v="Jincheng"/>
        <s v="Sandra"/>
        <s v="Ronda"/>
        <s v="Dannine"/>
        <s v="Silvio"/>
        <s v="Denise"/>
        <s v="Milane"/>
        <s v="Edward"/>
        <s v="Yuri"/>
        <s v="Gordon"/>
        <s v="Laisheng"/>
        <s v="Randa Duncan"/>
        <s v="Christopher"/>
        <s v="Kjeld Kirk"/>
        <s v="Sofie Kirk"/>
        <s v="Thomas Kirk"/>
        <s v="Massimiliana"/>
        <s v="Ping"/>
        <s v="Magdalena"/>
        <s v="Xavier"/>
        <s v="Terrence"/>
        <s v="John A."/>
        <s v="Agnete Kirk"/>
        <s v="Shihui"/>
        <s v="Rahel"/>
        <s v="Bubba"/>
        <s v="Dan"/>
        <s v="Trudy"/>
        <s v="Bruce"/>
        <s v="Nadia"/>
        <s v="Melinda"/>
        <s v="Annette"/>
        <s v="Radovan"/>
        <s v="Alexei"/>
        <s v="Luis Carlos"/>
        <s v="Dennis"/>
        <s v="Jifan"/>
        <s v="Yusuo"/>
        <s v="Stef"/>
        <s v="Maria Asuncion"/>
        <s v="Gustaf"/>
        <s v="Frits"/>
        <s v="Muqin"/>
        <s v="Xueping"/>
        <s v="Michal"/>
        <s v="Tom"/>
        <s v="Wolfgang"/>
        <s v="Neil"/>
        <s v="Jay"/>
        <s v="Gopikishan"/>
        <s v="Sumet"/>
        <s v="Frank"/>
        <s v="Les"/>
        <s v="Kui"/>
        <s v="Jaran"/>
        <s v="Antony"/>
        <s v="Eng-meng"/>
        <s v="Josh"/>
        <s v="Niels Peter"/>
        <s v="Rinat"/>
        <s v="Fredrik"/>
        <s v="Dirk"/>
        <s v="Ray Lee"/>
        <s v="Meisong"/>
        <s v="Vikram"/>
        <s v="Ge"/>
        <s v="Karen"/>
        <s v="Teddy"/>
        <s v="Jung-jin"/>
        <s v="Jianshu"/>
        <s v="Micky"/>
        <s v="Archie Aldis"/>
        <s v="Piero"/>
        <s v="Weiping"/>
        <s v="Ludwig"/>
        <s v="Mitchell"/>
        <s v="Katharine"/>
        <s v="Paul"/>
        <s v="Sergio"/>
        <s v="Margaretta"/>
        <s v="Yan"/>
        <s v="Patrizio"/>
        <s v="Mahendra"/>
        <s v="Mat"/>
        <s v="Leo"/>
        <s v="Hangen"/>
        <s v="Miuccia"/>
        <s v="Matthias"/>
        <s v="Renate"/>
        <s v="Todd"/>
        <s v="Ibrahim"/>
        <s v="Elizabeth"/>
        <s v="Douglas"/>
        <s v="Prajogo"/>
        <s v="Lynda"/>
        <s v="Stewart"/>
        <s v="Gary"/>
        <s v="Ronald"/>
        <s v="Erich"/>
        <s v="M.A."/>
      </sharedItems>
    </cacheField>
    <cacheField name="finalWorth (millions)" numFmtId="0">
      <sharedItems containsSemiMixedTypes="0" containsString="0" containsNumber="1" containsInteger="1" minValue="5300" maxValue="211000" count="171">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5300"/>
        <n v="35000"/>
        <n v="34700"/>
        <n v="33400"/>
        <n v="32600"/>
        <n v="32100"/>
        <n v="31600"/>
        <n v="31200"/>
        <n v="30200"/>
        <n v="297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300"/>
        <n v="14200"/>
        <n v="14000"/>
        <n v="13900"/>
        <n v="13700"/>
        <n v="13300"/>
        <n v="13200"/>
        <n v="13100"/>
        <n v="12900"/>
        <n v="12600"/>
        <n v="12300"/>
        <n v="12200"/>
        <n v="12100"/>
        <n v="120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sharedItems>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165">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743351063829785" maxValue="99.554404987801561" count="445">
        <n v="76.918529958931515"/>
        <n v="54.603696098562629"/>
        <n v="62.060927382556166"/>
        <n v="81.464078374455738"/>
        <n v="95.431200429027058"/>
        <n v="70.269678302532512"/>
        <n v="83.970559814468857"/>
        <n v="86.017119300122729"/>
        <n v="68.795322094887936"/>
        <n v="69.863802876643661"/>
        <n v="72.570815450643778"/>
        <n v="52.861025199006235"/>
        <n v="89.852849148564886"/>
        <n v="52.455813010191143"/>
        <n v="71.176574278963358"/>
        <n v="41.72418184133452"/>
        <n v="90.258726899383987"/>
        <n v="63.814498125605496"/>
        <n v="77.6584647374805"/>
        <n v="81.26969257157937"/>
        <n v="76.327143809891538"/>
        <n v="68.647475261078739"/>
        <n v="60.945904173106648"/>
        <n v="63.614632913525128"/>
        <n v="87.943181468606767"/>
        <n v="42.091048007131036"/>
        <n v="86.362765229295007"/>
        <n v="89.45312594018894"/>
        <n v="88.67486006327573"/>
        <n v="61.368258658902263"/>
        <n v="86.318959616700894"/>
        <n v="90.305270362765228"/>
        <n v="54.266940451745377"/>
        <n v="80.318931552587642"/>
        <n v="57.302552204176337"/>
        <n v="33.743351063829785"/>
        <n v="57.091012084592144"/>
        <n v="76.989715328723378"/>
        <n v="68.677592208706542"/>
        <n v="77.433962918038475"/>
        <n v="75.069130732375086"/>
        <n v="85.60370708373982"/>
        <n v="80.861035058430716"/>
        <n v="46.00343682646939"/>
        <n v="90.792607802874741"/>
        <n v="67.55166256646298"/>
        <n v="87.778909158027503"/>
        <n v="78.970568104038335"/>
        <n v="63.770692051724865"/>
        <n v="71.984247834077181"/>
        <n v="54.343600273785079"/>
        <n v="72.275122095604559"/>
        <n v="80.548914858096822"/>
        <n v="77.798093917865188"/>
        <n v="81.343613933236568"/>
        <n v="53.907611130469412"/>
        <n v="59.740574506283664"/>
        <n v="55.828185791824772"/>
        <n v="85.091019069752633"/>
        <n v="65.08553886999087"/>
        <n v="61.398374690365479"/>
        <n v="83.483218450041875"/>
        <n v="83.091033538672136"/>
        <n v="86.340862422997944"/>
        <n v="73.091016723397956"/>
        <n v="84.73509280188469"/>
        <n v="68.483201001290723"/>
        <n v="69.743338603323949"/>
        <n v="55.3791728709352"/>
        <n v="64.127271218783704"/>
        <n v="70.483230663928822"/>
        <n v="39.376427378964941"/>
        <n v="55.34358038330371"/>
        <n v="62.962354551676931"/>
        <n v="92.880202720414758"/>
        <n v="80.652954924874791"/>
        <n v="60.357253256789576"/>
        <n v="75.425721803441903"/>
        <n v="87.480481127141843"/>
        <n v="64.212146353604908"/>
        <n v="76.491417740180424"/>
        <n v="62.677618069815196"/>
        <n v="57.926774941995362"/>
        <n v="60.80079487745639"/>
        <n v="59.967818671454218"/>
        <n v="80.149181969949922"/>
        <n v="68.398325967066924"/>
        <n v="73.234102358180621"/>
        <n v="64.047217893096331"/>
        <n v="75.639276063148912"/>
        <n v="69.6475147495469"/>
        <n v="89.965100186533476"/>
        <n v="75.877471198975968"/>
        <n v="93.732384218565372"/>
        <n v="86.033546275608145"/>
        <n v="94.902121834360031"/>
        <n v="75.091033538672136"/>
        <n v="58.587268993839835"/>
        <n v="78.335386721423689"/>
        <n v="70.773442847364819"/>
        <n v="57.880232018561486"/>
        <n v="70.041761462229587"/>
        <n v="86.442162902121837"/>
        <n v="70.343600273785086"/>
        <n v="47.904844387327486"/>
        <n v="71.091033538672136"/>
        <n v="59.091033538672143"/>
        <n v="86.795345653661869"/>
        <n v="84.225844449396703"/>
        <n v="81.757025992875043"/>
        <n v="71.598207253497364"/>
        <n v="63.704982940903925"/>
        <n v="61.926774151492765"/>
        <n v="98.606433949349764"/>
        <n v="58.64202600958248"/>
        <n v="68.819963233856143"/>
        <n v="70.340862422997944"/>
        <n v="60.425701037756681"/>
        <n v="81.006143572621028"/>
        <n v="78.926762491444222"/>
        <n v="49.943203779257033"/>
        <n v="83.310732461508735"/>
        <n v="83.51881079688205"/>
        <n v="63.102649425045279"/>
        <n v="92.924008970960884"/>
        <n v="66.891170431211492"/>
        <n v="78.518822724161538"/>
        <n v="61.787145278345136"/>
        <n v="60.565334510929567"/>
        <n v="53.006134969325153"/>
        <n v="72.324404321444433"/>
        <n v="75.548926184042102"/>
        <n v="62.245037645448321"/>
        <n v="85.735122887623135"/>
        <n v="41.316248567426463"/>
        <n v="75.965083202958326"/>
        <n v="62.091043414019381"/>
        <n v="53.538005873861316"/>
        <n v="77.343614624848385"/>
        <n v="72.406541364510886"/>
        <n v="65.814522719843083"/>
        <n v="60.756988297637449"/>
        <n v="91.568093499764487"/>
        <n v="75.677606314891193"/>
        <n v="54.091044850415649"/>
        <n v="86.102669404517457"/>
        <n v="88.633791676807007"/>
        <n v="70.294318959616703"/>
        <n v="96.499636810638648"/>
        <n v="84.666645442679311"/>
        <n v="76.091025458682978"/>
        <n v="59.899371633752246"/>
        <n v="48.401051363487021"/>
        <n v="73.179345842155215"/>
        <n v="46.214921286789867"/>
        <n v="63.461311654942925"/>
        <n v="85.368253768448881"/>
        <n v="66.918548939082825"/>
        <n v="77.308022872985617"/>
        <n v="43.880201995619366"/>
        <n v="61.291599669723176"/>
        <n v="76.986977429885229"/>
        <n v="46.13278576317591"/>
        <n v="84.480468625640697"/>
        <n v="87.910327006490917"/>
        <n v="77.6748916998787"/>
        <n v="77.066376496191523"/>
        <n v="83.014373716632448"/>
        <n v="54.48596851471595"/>
        <n v="55.924011720063405"/>
        <n v="58.006171693735503"/>
        <n v="78.724161533196437"/>
        <n v="65.863803530565548"/>
        <n v="62.343600273785079"/>
        <n v="56.135479607250758"/>
        <n v="79.472266351191479"/>
        <n v="67.425720180938029"/>
        <n v="73.527049718916558"/>
        <n v="73.423012338468283"/>
        <n v="69.926772837697143"/>
        <n v="61.518838816218327"/>
        <n v="65.507886564236685"/>
        <n v="67.022587268993846"/>
        <n v="69.13554158793815"/>
        <n v="73.841899686062646"/>
        <n v="97.340873893805309"/>
        <n v="60.368204901744313"/>
        <n v="46.959616700889804"/>
        <n v="44.433902743884289"/>
        <n v="78.759753593429153"/>
        <n v="59.280610412926393"/>
        <n v="82.412046543463376"/>
        <n v="50.573579739904176"/>
        <n v="84.913055935818662"/>
        <n v="80.532487479131888"/>
        <n v="88.518800194694563"/>
        <n v="66.091042824452444"/>
        <n v="74.852840520191648"/>
        <n v="69.074588336527555"/>
        <n v="58.579055441478438"/>
        <n v="75.904849950220452"/>
        <n v="59.943177737881513"/>
        <n v="73.661203183178799"/>
        <n v="50.3025325119781"/>
        <n v="74.600958247775495"/>
        <n v="51.904845541894822"/>
        <n v="41.702279383675027"/>
        <n v="58.622861054072551"/>
        <n v="67.091033538672136"/>
        <n v="55.091033538672143"/>
        <n v="82.814510609171805"/>
        <n v="74.513347022587268"/>
        <n v="70.66392881587953"/>
        <n v="71.184787908337398"/>
        <n v="82.036284470246727"/>
        <n v="78.09104141396638"/>
        <n v="76.143704587735627"/>
        <n v="70.346338124572213"/>
        <n v="50.622861054072551"/>
        <n v="77.127326286605438"/>
        <n v="58.091044083526683"/>
        <n v="78.182067077344286"/>
        <n v="80.658430717863098"/>
        <n v="75.70772294126013"/>
        <n v="80.091025857698156"/>
        <n v="77.877490902789816"/>
        <n v="64.280594042976844"/>
        <n v="65.499673095782939"/>
        <n v="82.390143737166326"/>
        <n v="94.472279260780283"/>
        <n v="71.343584742902152"/>
        <n v="44.354502708172134"/>
        <n v="72.579029154950419"/>
        <n v="68.86103179880314"/>
        <n v="68.611882504791339"/>
        <n v="60.836387723559284"/>
        <n v="56.891144259818731"/>
        <n v="42.650239561943877"/>
        <n v="69.830948983920095"/>
        <n v="96.732357378331557"/>
        <n v="88.724142127038206"/>
        <n v="63.176572174718842"/>
        <n v="61.721437573334491"/>
        <n v="55.3654834526154"/>
        <n v="55.176569479802104"/>
        <n v="74.724161533196437"/>
        <n v="57.614663573085849"/>
        <n v="57.379211136890952"/>
        <n v="60.011624775583485"/>
        <n v="53.387425954502461"/>
        <n v="76.192986766822287"/>
        <n v="69.592758261674319"/>
        <n v="56.085546856237087"/>
        <n v="61.507887532049892"/>
        <n v="58.666666666666664"/>
        <n v="45.513368672452962"/>
        <n v="82.951403148528399"/>
        <n v="57.212204176334112"/>
        <n v="74.425735797399042"/>
        <n v="71.373701383940286"/>
        <n v="71.08555783709788"/>
        <n v="64.617356674686803"/>
        <n v="57.529791183294662"/>
        <n v="92.376430839134358"/>
        <n v="70.168377823408619"/>
        <n v="44.455806202011786"/>
        <n v="68.913051981069344"/>
        <n v="87.855569569631157"/>
        <n v="65.091014685140621"/>
        <n v="83.354538426850482"/>
        <n v="88.000676777309508"/>
        <n v="71.351798372276193"/>
        <n v="82.077351893389633"/>
        <n v="55.595465680388109"/>
        <n v="83.077344284736483"/>
        <n v="73.480506680294951"/>
        <n v="74.091041833978238"/>
        <n v="74.847364818617379"/>
        <n v="65.041732348792834"/>
        <n v="84.179300245137057"/>
        <n v="94.677618069815196"/>
        <n v="62.165639972621491"/>
        <n v="53.24779730200607"/>
        <n v="65.921297809741745"/>
        <n v="58.672142368240934"/>
        <n v="68.192983142331911"/>
        <n v="71.151933390841236"/>
        <n v="82.644763860369608"/>
        <n v="81.291595197255575"/>
        <n v="44.472233795607401"/>
        <n v="64.56533643076412"/>
        <n v="80.343572621035051"/>
        <n v="82.510609171800141"/>
        <n v="79.08555783709788"/>
        <n v="64.217622168754659"/>
        <n v="69.138279412331769"/>
        <n v="75.264187171099408"/>
        <n v="97.066379840196674"/>
        <n v="61.357307374733821"/>
        <n v="40.691264667535854"/>
        <n v="43.852823071306887"/>
        <n v="80.535225375626041"/>
        <n v="83.280615860336269"/>
        <n v="86.308008213552355"/>
        <n v="58.663928815879537"/>
        <n v="61.409325974533921"/>
        <n v="72.099896403729474"/>
        <n v="70.384668035592057"/>
        <n v="73.937723589107108"/>
        <n v="90.091040375473852"/>
        <n v="92.091026848798876"/>
        <n v="58.384668035592057"/>
        <n v="61.365520837860153"/>
        <n v="83.373703536687501"/>
        <n v="57.570858468677493"/>
        <n v="71.762479840978131"/>
        <n v="61.904871583155881"/>
        <n v="89.346350562609061"/>
        <n v="58.357289527720738"/>
        <n v="43.258700413725961"/>
        <n v="56.48045694864048"/>
        <n v="61.209465038459868"/>
        <n v="64.231311706629057"/>
        <n v="97.085545063418451"/>
        <n v="56.121790030211478"/>
        <n v="64.557122708039486"/>
        <n v="68.809011616536949"/>
        <n v="61.138281691365002"/>
        <n v="64.436654774744881"/>
        <n v="75.182050917365942"/>
        <n v="59.272396768402153"/>
        <n v="78.105407255304584"/>
        <n v="50.091045737599316"/>
        <n v="47.091033538672143"/>
        <n v="63.510593488058632"/>
        <n v="58.444900752908964"/>
        <n v="74.858316221765918"/>
        <n v="87.11086842833852"/>
        <n v="86.702258726899387"/>
        <n v="95.480482090942445"/>
        <n v="74.313483915126625"/>
        <n v="42.715947980835047"/>
        <n v="68.091024521863346"/>
        <n v="71.787120729100252"/>
        <n v="72.929480538700616"/>
        <n v="70.132785763175903"/>
        <n v="80.940434056761262"/>
        <n v="66.32443531827515"/>
        <n v="50.074618853339061"/>
        <n v="83.187528183985052"/>
        <n v="61.469558037460345"/>
        <n v="95.934968528606504"/>
        <n v="87.425723690282098"/>
        <n v="54.787132101300479"/>
        <n v="74.461327857631758"/>
        <n v="65.817260542661003"/>
        <n v="72.642000887968038"/>
        <n v="62.258726899383987"/>
        <n v="63.305252516743188"/>
        <n v="93.019835144030523"/>
        <n v="91.524287564766837"/>
        <n v="80.283338898163606"/>
        <n v="61.091013468756898"/>
        <n v="69.674892993483198"/>
        <n v="88.091026548128099"/>
        <n v="61.89939594107166"/>
        <n v="99.554404987801561"/>
        <n v="62.75975359342916"/>
        <n v="87.924016365705853"/>
        <n v="92.507849590772722"/>
        <n v="63.568088960026955"/>
        <n v="72.767944354003262"/>
        <n v="61.510625353092003"/>
        <n v="82.351813826146469"/>
        <n v="66.954140999315541"/>
        <n v="88.06090995785523"/>
        <n v="76.959598441503744"/>
        <n v="66.442162902121837"/>
        <n v="91.255976212906262"/>
        <n v="95.286093313387326"/>
        <n v="79.587257055940498"/>
        <n v="74.592744695414098"/>
        <n v="88.406546605013375"/>
        <n v="63.091033538672143"/>
        <n v="95.844618815094975"/>
        <n v="64.784369036754327"/>
        <n v="65.310763321346855"/>
        <n v="69.052685101889153"/>
        <n v="61.097214375733344"/>
        <n v="78.277891854893909"/>
        <n v="73.516098415711468"/>
        <n v="59.370960502693002"/>
        <n v="91.387394017899197"/>
        <n v="96.091027124671868"/>
        <n v="74.499657768651602"/>
        <n v="80.132754590984973"/>
        <n v="54.255989048596852"/>
        <n v="61.841901699187346"/>
        <n v="59.480475763016159"/>
        <n v="82.830937713894599"/>
        <n v="83.918540230625524"/>
        <n v="90.384668035592057"/>
        <n v="68.074597254186173"/>
        <n v="72.357259138671012"/>
        <n v="54.258726899383987"/>
        <n v="68.283333985215322"/>
        <n v="76.600933693706352"/>
        <n v="68.814487425196546"/>
        <n v="35.496892111883973"/>
        <n v="37.401123201123198"/>
        <n v="96.819969827345361"/>
        <n v="80.704974958263776"/>
        <n v="60.934952528151911"/>
        <n v="97.874751106194694"/>
        <n v="70.92950034223135"/>
        <n v="84.669383337047535"/>
        <n v="69.453129217599198"/>
        <n v="81.060901502504166"/>
        <n v="81.450389233408103"/>
        <n v="82.87748117727584"/>
        <n v="83.806287444437288"/>
        <n v="70.844626967830251"/>
        <n v="84.795326477985412"/>
        <n v="46.077357721209296"/>
        <n v="70.967830253251194"/>
        <n v="79.995200270407295"/>
        <n v="76.737828635613752"/>
        <n v="73.332664087026359"/>
        <n v="60.850077279752703"/>
        <n v="62.562628336755644"/>
        <n v="74.32443531827515"/>
        <n v="52.373675404350251"/>
        <n v="67.074606433949356"/>
        <n v="63.357272229476436"/>
        <n v="62.7460643394935"/>
        <n v="68.587241365823132"/>
        <n v="81.726909882570254"/>
        <n v="75.663916939268944"/>
        <n v="83.088295687885008"/>
        <n v="89.110897165894457"/>
        <n v="81.428486607731884"/>
        <n v="65.702271984308595"/>
        <n v="84.713189646938972"/>
        <n v="80.674858096828046"/>
        <n v="70.220396988364129"/>
      </sharedItems>
      <fieldGroup base="21">
        <rangePr autoStart="0" autoEnd="0" startNum="30" endNum="110" groupInterval="10"/>
        <groupItems count="10">
          <s v="&lt;30"/>
          <s v="30-40"/>
          <s v="40-50"/>
          <s v="50-60"/>
          <s v="60-70"/>
          <s v="70-80"/>
          <s v="80-90"/>
          <s v="90-100"/>
          <s v="100-110"/>
          <s v="&gt;110"/>
        </groupItems>
      </fieldGroup>
    </cacheField>
    <cacheField name="DOB" numFmtId="14">
      <sharedItems containsSemiMixedTypes="0" containsNonDate="0" containsDate="1" containsString="0" minDate="1926-07-16T00:00:00" maxDate="1992-05-08T00:00:00"/>
    </cacheField>
    <cacheField name="Current date" numFmtId="14">
      <sharedItems containsSemiMixedTypes="0" containsNonDate="0" containsDate="1" containsString="0" minDate="2026-02-03T00:00:00" maxDate="2026-02-04T00:00:00"/>
    </cacheField>
  </cacheFields>
  <extLst>
    <ext xmlns:x14="http://schemas.microsoft.com/office/spreadsheetml/2009/9/main" uri="{725AE2AE-9491-48be-B2B4-4EB974FC3084}">
      <x14:pivotCacheDefinition pivotCacheId="1692521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s v="Paris"/>
    <s v="LVMH"/>
    <s v="Fashion &amp; Retail"/>
    <x v="0"/>
    <x v="0"/>
    <x v="0"/>
    <x v="0"/>
    <x v="0"/>
    <n v="1949"/>
    <n v="3"/>
    <n v="5"/>
    <n v="110.05"/>
    <n v="2715518274227"/>
    <n v="82.5"/>
    <n v="24.2"/>
    <n v="60.7"/>
    <n v="67059887"/>
    <x v="0"/>
    <d v="1949-03-05T00:00:00"/>
    <d v="2026-02-03T00:00:00"/>
  </r>
  <r>
    <n v="2"/>
    <x v="1"/>
    <x v="1"/>
    <x v="1"/>
    <s v="Austin"/>
    <s v="Tesla, SpaceX"/>
    <s v="Automotive"/>
    <x v="1"/>
    <x v="0"/>
    <x v="1"/>
    <x v="1"/>
    <x v="1"/>
    <n v="1971"/>
    <n v="6"/>
    <n v="28"/>
    <n v="117.24"/>
    <n v="21427700000000"/>
    <n v="78.5"/>
    <n v="9.6"/>
    <n v="36.6"/>
    <n v="328239523"/>
    <x v="1"/>
    <d v="1971-06-28T00:00:00"/>
    <d v="2026-02-03T00:00:00"/>
  </r>
  <r>
    <n v="3"/>
    <x v="2"/>
    <x v="2"/>
    <x v="1"/>
    <s v="Medina"/>
    <s v="Amazon"/>
    <s v="Technology"/>
    <x v="1"/>
    <x v="0"/>
    <x v="2"/>
    <x v="2"/>
    <x v="2"/>
    <n v="1964"/>
    <n v="1"/>
    <n v="12"/>
    <n v="117.24"/>
    <n v="21427700000000"/>
    <n v="78.5"/>
    <n v="9.6"/>
    <n v="36.6"/>
    <n v="328239523"/>
    <x v="2"/>
    <d v="1964-01-12T00:00:00"/>
    <d v="2026-02-03T00:00:00"/>
  </r>
  <r>
    <n v="4"/>
    <x v="2"/>
    <x v="3"/>
    <x v="1"/>
    <s v="Lanai"/>
    <s v="Oracle"/>
    <s v="Technology"/>
    <x v="1"/>
    <x v="0"/>
    <x v="3"/>
    <x v="3"/>
    <x v="3"/>
    <n v="1944"/>
    <n v="8"/>
    <n v="17"/>
    <n v="117.24"/>
    <n v="21427700000000"/>
    <n v="78.5"/>
    <n v="9.6"/>
    <n v="36.6"/>
    <n v="328239523"/>
    <x v="3"/>
    <d v="1944-08-17T00:00:00"/>
    <d v="2026-02-03T00:00:00"/>
  </r>
  <r>
    <n v="5"/>
    <x v="3"/>
    <x v="4"/>
    <x v="1"/>
    <s v="Omaha"/>
    <s v="Berkshire Hathaway"/>
    <s v="Finance &amp; Investments"/>
    <x v="1"/>
    <x v="0"/>
    <x v="4"/>
    <x v="4"/>
    <x v="4"/>
    <n v="1930"/>
    <n v="8"/>
    <n v="30"/>
    <n v="117.24"/>
    <n v="21427700000000"/>
    <n v="78.5"/>
    <n v="9.6"/>
    <n v="36.6"/>
    <n v="328239523"/>
    <x v="4"/>
    <d v="1930-08-30T00:00:00"/>
    <d v="2026-02-03T00:00:00"/>
  </r>
  <r>
    <n v="6"/>
    <x v="2"/>
    <x v="5"/>
    <x v="1"/>
    <s v="Medina"/>
    <s v="Microsoft"/>
    <s v="Technology"/>
    <x v="1"/>
    <x v="0"/>
    <x v="5"/>
    <x v="5"/>
    <x v="5"/>
    <n v="1955"/>
    <n v="10"/>
    <n v="28"/>
    <n v="117.24"/>
    <n v="21427700000000"/>
    <n v="78.5"/>
    <n v="9.6"/>
    <n v="36.6"/>
    <n v="328239523"/>
    <x v="5"/>
    <d v="1955-10-28T00:00:00"/>
    <d v="2026-02-03T00:00:00"/>
  </r>
  <r>
    <n v="7"/>
    <x v="4"/>
    <x v="6"/>
    <x v="1"/>
    <s v="New York"/>
    <s v="Bloomberg LP"/>
    <s v="Media &amp; Entertainment"/>
    <x v="1"/>
    <x v="0"/>
    <x v="6"/>
    <x v="6"/>
    <x v="6"/>
    <n v="1942"/>
    <n v="2"/>
    <n v="14"/>
    <n v="117.24"/>
    <n v="21427700000000"/>
    <n v="78.5"/>
    <n v="9.6"/>
    <n v="36.6"/>
    <n v="328239523"/>
    <x v="6"/>
    <d v="1942-02-14T00:00:00"/>
    <d v="2026-02-03T00:00:00"/>
  </r>
  <r>
    <n v="8"/>
    <x v="5"/>
    <x v="7"/>
    <x v="2"/>
    <s v="Mexico City"/>
    <s v="Telecom"/>
    <s v="Telecom"/>
    <x v="1"/>
    <x v="0"/>
    <x v="7"/>
    <x v="7"/>
    <x v="7"/>
    <n v="1940"/>
    <n v="1"/>
    <n v="28"/>
    <n v="141.54"/>
    <n v="1258286717125"/>
    <n v="75"/>
    <n v="13.1"/>
    <n v="55.1"/>
    <n v="126014024"/>
    <x v="7"/>
    <d v="1940-01-28T00:00:00"/>
    <d v="2026-02-03T00:00:00"/>
  </r>
  <r>
    <n v="9"/>
    <x v="6"/>
    <x v="8"/>
    <x v="3"/>
    <s v="Mumbai"/>
    <s v="Diversified"/>
    <s v="Diversified"/>
    <x v="0"/>
    <x v="0"/>
    <x v="8"/>
    <x v="8"/>
    <x v="8"/>
    <n v="1957"/>
    <n v="4"/>
    <n v="19"/>
    <n v="180.44"/>
    <n v="2611000000000"/>
    <n v="69.400000000000006"/>
    <n v="11.2"/>
    <n v="49.7"/>
    <n v="1366417754"/>
    <x v="8"/>
    <d v="1957-04-19T00:00:00"/>
    <d v="2026-02-03T00:00:00"/>
  </r>
  <r>
    <n v="10"/>
    <x v="2"/>
    <x v="9"/>
    <x v="1"/>
    <s v="Hunts Point"/>
    <s v="Microsoft"/>
    <s v="Technology"/>
    <x v="1"/>
    <x v="0"/>
    <x v="9"/>
    <x v="9"/>
    <x v="9"/>
    <n v="1956"/>
    <n v="3"/>
    <n v="24"/>
    <n v="117.24"/>
    <n v="21427700000000"/>
    <n v="78.5"/>
    <n v="9.6"/>
    <n v="36.6"/>
    <n v="328239523"/>
    <x v="9"/>
    <d v="1956-03-24T00:00:00"/>
    <d v="2026-02-03T00:00:00"/>
  </r>
  <r>
    <n v="11"/>
    <x v="0"/>
    <x v="10"/>
    <x v="0"/>
    <s v="Paris"/>
    <s v="L'Oréal"/>
    <s v="Fashion &amp; Retail"/>
    <x v="0"/>
    <x v="1"/>
    <x v="10"/>
    <x v="10"/>
    <x v="10"/>
    <n v="1953"/>
    <n v="7"/>
    <n v="10"/>
    <n v="110.05"/>
    <n v="2715518274227"/>
    <n v="82.5"/>
    <n v="24.2"/>
    <n v="60.7"/>
    <n v="67059887"/>
    <x v="10"/>
    <d v="1953-07-10T00:00:00"/>
    <d v="2026-02-03T00:00:00"/>
  </r>
  <r>
    <n v="12"/>
    <x v="2"/>
    <x v="11"/>
    <x v="1"/>
    <s v="Palo Alto"/>
    <s v="Google"/>
    <s v="Technology"/>
    <x v="1"/>
    <x v="0"/>
    <x v="11"/>
    <x v="3"/>
    <x v="11"/>
    <n v="1973"/>
    <n v="3"/>
    <n v="26"/>
    <n v="117.24"/>
    <n v="21427700000000"/>
    <n v="78.5"/>
    <n v="9.6"/>
    <n v="36.6"/>
    <n v="328239523"/>
    <x v="11"/>
    <d v="1973-03-26T00:00:00"/>
    <d v="2026-02-03T00:00:00"/>
  </r>
  <r>
    <n v="13"/>
    <x v="0"/>
    <x v="12"/>
    <x v="4"/>
    <s v="La Coruna"/>
    <s v="Zara"/>
    <s v="Fashion &amp; Retail"/>
    <x v="1"/>
    <x v="0"/>
    <x v="12"/>
    <x v="11"/>
    <x v="12"/>
    <n v="1936"/>
    <n v="3"/>
    <n v="28"/>
    <n v="110.96"/>
    <n v="1394116310769"/>
    <n v="83.3"/>
    <n v="14.2"/>
    <n v="47"/>
    <n v="47076781"/>
    <x v="12"/>
    <d v="1936-03-28T00:00:00"/>
    <d v="2026-02-03T00:00:00"/>
  </r>
  <r>
    <n v="14"/>
    <x v="2"/>
    <x v="13"/>
    <x v="1"/>
    <s v="Los Altos"/>
    <s v="Google"/>
    <s v="Technology"/>
    <x v="1"/>
    <x v="0"/>
    <x v="13"/>
    <x v="12"/>
    <x v="13"/>
    <n v="1973"/>
    <n v="8"/>
    <n v="21"/>
    <n v="117.24"/>
    <n v="21427700000000"/>
    <n v="78.5"/>
    <n v="9.6"/>
    <n v="36.6"/>
    <n v="328239523"/>
    <x v="13"/>
    <d v="1973-08-21T00:00:00"/>
    <d v="2026-02-03T00:00:00"/>
  </r>
  <r>
    <n v="15"/>
    <x v="7"/>
    <x v="14"/>
    <x v="5"/>
    <s v="Hangzhou"/>
    <s v="Beverages, pharmaceuticals"/>
    <s v="Food &amp; Beverage"/>
    <x v="1"/>
    <x v="0"/>
    <x v="14"/>
    <x v="13"/>
    <x v="14"/>
    <n v="1954"/>
    <n v="12"/>
    <n v="1"/>
    <n v="125.08"/>
    <n v="19910000000000"/>
    <n v="77"/>
    <n v="9.4"/>
    <n v="59.2"/>
    <n v="1397715000"/>
    <x v="14"/>
    <d v="1954-12-01T00:00:00"/>
    <d v="2026-02-03T00:00:00"/>
  </r>
  <r>
    <n v="16"/>
    <x v="2"/>
    <x v="15"/>
    <x v="1"/>
    <s v="Palo Alto"/>
    <s v="Facebook"/>
    <s v="Technology"/>
    <x v="1"/>
    <x v="0"/>
    <x v="15"/>
    <x v="14"/>
    <x v="15"/>
    <n v="1984"/>
    <n v="5"/>
    <n v="14"/>
    <n v="117.24"/>
    <n v="21427700000000"/>
    <n v="78.5"/>
    <n v="9.6"/>
    <n v="36.6"/>
    <n v="328239523"/>
    <x v="15"/>
    <d v="1984-05-14T00:00:00"/>
    <d v="2026-02-03T00:00:00"/>
  </r>
  <r>
    <n v="17"/>
    <x v="6"/>
    <x v="16"/>
    <x v="1"/>
    <s v="Wichita"/>
    <s v="Koch Industries"/>
    <s v="Diversified"/>
    <x v="0"/>
    <x v="0"/>
    <x v="16"/>
    <x v="15"/>
    <x v="16"/>
    <n v="1935"/>
    <n v="11"/>
    <n v="1"/>
    <n v="117.24"/>
    <n v="21427700000000"/>
    <n v="78.5"/>
    <n v="9.6"/>
    <n v="36.6"/>
    <n v="328239523"/>
    <x v="16"/>
    <d v="1935-11-01T00:00:00"/>
    <d v="2026-02-03T00:00:00"/>
  </r>
  <r>
    <n v="17"/>
    <x v="6"/>
    <x v="17"/>
    <x v="1"/>
    <s v="New York"/>
    <s v="Koch Industries"/>
    <s v="Diversified"/>
    <x v="0"/>
    <x v="1"/>
    <x v="16"/>
    <x v="16"/>
    <x v="16"/>
    <n v="1962"/>
    <n v="4"/>
    <n v="12"/>
    <n v="117.24"/>
    <n v="21427700000000"/>
    <n v="78.5"/>
    <n v="9.6"/>
    <n v="36.6"/>
    <n v="328239523"/>
    <x v="17"/>
    <d v="1962-04-12T00:00:00"/>
    <d v="2026-02-03T00:00:00"/>
  </r>
  <r>
    <n v="19"/>
    <x v="0"/>
    <x v="18"/>
    <x v="1"/>
    <s v="Bentonville"/>
    <s v="Walmart"/>
    <s v="Fashion &amp; Retail"/>
    <x v="0"/>
    <x v="0"/>
    <x v="17"/>
    <x v="17"/>
    <x v="17"/>
    <n v="1948"/>
    <n v="6"/>
    <n v="7"/>
    <n v="117.24"/>
    <n v="21427700000000"/>
    <n v="78.5"/>
    <n v="9.6"/>
    <n v="36.6"/>
    <n v="328239523"/>
    <x v="18"/>
    <d v="1948-06-07T00:00:00"/>
    <d v="2026-02-03T00:00:00"/>
  </r>
  <r>
    <n v="20"/>
    <x v="0"/>
    <x v="19"/>
    <x v="1"/>
    <s v="Bentonville"/>
    <s v="Walmart"/>
    <s v="Fashion &amp; Retail"/>
    <x v="0"/>
    <x v="0"/>
    <x v="17"/>
    <x v="18"/>
    <x v="18"/>
    <n v="1944"/>
    <n v="10"/>
    <n v="27"/>
    <n v="117.24"/>
    <n v="21427700000000"/>
    <n v="78.5"/>
    <n v="9.6"/>
    <n v="36.6"/>
    <n v="328239523"/>
    <x v="19"/>
    <d v="1944-10-27T00:00:00"/>
    <d v="2026-02-03T00:00:00"/>
  </r>
  <r>
    <n v="21"/>
    <x v="0"/>
    <x v="20"/>
    <x v="1"/>
    <s v="Fort Worth"/>
    <s v="Walmart"/>
    <s v="Fashion &amp; Retail"/>
    <x v="0"/>
    <x v="1"/>
    <x v="17"/>
    <x v="19"/>
    <x v="19"/>
    <n v="1949"/>
    <n v="10"/>
    <n v="7"/>
    <n v="117.24"/>
    <n v="21427700000000"/>
    <n v="78.5"/>
    <n v="9.6"/>
    <n v="36.6"/>
    <n v="328239523"/>
    <x v="20"/>
    <d v="1949-10-07T00:00:00"/>
    <d v="2026-02-03T00:00:00"/>
  </r>
  <r>
    <n v="22"/>
    <x v="4"/>
    <x v="21"/>
    <x v="6"/>
    <s v="Toronto"/>
    <s v="Media"/>
    <s v="Media &amp; Entertainment"/>
    <x v="0"/>
    <x v="0"/>
    <x v="18"/>
    <x v="20"/>
    <x v="20"/>
    <n v="1957"/>
    <n v="6"/>
    <n v="12"/>
    <n v="116.76"/>
    <n v="1736425629520"/>
    <n v="81.900000000000006"/>
    <n v="12.8"/>
    <n v="24.5"/>
    <n v="36991981"/>
    <x v="21"/>
    <d v="1957-06-12T00:00:00"/>
    <d v="2026-02-03T00:00:00"/>
  </r>
  <r>
    <n v="23"/>
    <x v="2"/>
    <x v="22"/>
    <x v="1"/>
    <s v="Austin"/>
    <s v="Dell Technologies"/>
    <s v="Technology"/>
    <x v="1"/>
    <x v="0"/>
    <x v="19"/>
    <x v="6"/>
    <x v="21"/>
    <n v="1965"/>
    <n v="2"/>
    <n v="23"/>
    <n v="117.24"/>
    <n v="21427700000000"/>
    <n v="78.5"/>
    <n v="9.6"/>
    <n v="36.6"/>
    <n v="328239523"/>
    <x v="22"/>
    <d v="1965-02-23T00:00:00"/>
    <d v="2026-02-03T00:00:00"/>
  </r>
  <r>
    <n v="24"/>
    <x v="6"/>
    <x v="23"/>
    <x v="3"/>
    <s v="Ahmedabad"/>
    <s v="Infrastructure, commodities"/>
    <s v="Diversified"/>
    <x v="1"/>
    <x v="0"/>
    <x v="20"/>
    <x v="21"/>
    <x v="22"/>
    <n v="1962"/>
    <n v="6"/>
    <n v="24"/>
    <n v="180.44"/>
    <n v="2611000000000"/>
    <n v="69.400000000000006"/>
    <n v="11.2"/>
    <n v="49.7"/>
    <n v="1366417754"/>
    <x v="23"/>
    <d v="1962-06-24T00:00:00"/>
    <d v="2026-02-03T00:00:00"/>
  </r>
  <r>
    <n v="25"/>
    <x v="0"/>
    <x v="24"/>
    <x v="1"/>
    <s v="Hillsboro"/>
    <s v="Nike"/>
    <s v="Fashion &amp; Retail"/>
    <x v="1"/>
    <x v="0"/>
    <x v="21"/>
    <x v="22"/>
    <x v="23"/>
    <n v="1938"/>
    <n v="2"/>
    <n v="24"/>
    <n v="117.24"/>
    <n v="21427700000000"/>
    <n v="78.5"/>
    <n v="9.6"/>
    <n v="36.6"/>
    <n v="328239523"/>
    <x v="24"/>
    <d v="1938-02-24T00:00:00"/>
    <d v="2026-02-03T00:00:00"/>
  </r>
  <r>
    <n v="26"/>
    <x v="2"/>
    <x v="25"/>
    <x v="5"/>
    <s v="Beijing"/>
    <s v="TikTok"/>
    <s v="Technology"/>
    <x v="1"/>
    <x v="0"/>
    <x v="22"/>
    <x v="23"/>
    <x v="24"/>
    <n v="1984"/>
    <n v="1"/>
    <n v="1"/>
    <n v="125.08"/>
    <n v="19910000000000"/>
    <n v="77"/>
    <n v="9.4"/>
    <n v="59.2"/>
    <n v="1397715000"/>
    <x v="25"/>
    <d v="1984-01-01T00:00:00"/>
    <d v="2026-02-03T00:00:00"/>
  </r>
  <r>
    <n v="27"/>
    <x v="0"/>
    <x v="26"/>
    <x v="7"/>
    <s v="Neckarsulm"/>
    <s v="Retail"/>
    <s v="Fashion &amp; Retail"/>
    <x v="0"/>
    <x v="0"/>
    <x v="23"/>
    <x v="24"/>
    <x v="25"/>
    <n v="1939"/>
    <n v="9"/>
    <n v="24"/>
    <n v="112.85"/>
    <n v="3845630030824"/>
    <n v="80.900000000000006"/>
    <n v="11.5"/>
    <n v="48.8"/>
    <n v="83132799"/>
    <x v="26"/>
    <d v="1939-09-24T00:00:00"/>
    <d v="2026-02-03T00:00:00"/>
  </r>
  <r>
    <n v="28"/>
    <x v="0"/>
    <x v="27"/>
    <x v="0"/>
    <s v="Paris"/>
    <s v="Luxury goods"/>
    <s v="Fashion &amp; Retail"/>
    <x v="1"/>
    <x v="0"/>
    <x v="24"/>
    <x v="25"/>
    <x v="26"/>
    <n v="1936"/>
    <n v="8"/>
    <n v="21"/>
    <n v="110.05"/>
    <n v="2715518274227"/>
    <n v="82.5"/>
    <n v="24.2"/>
    <n v="60.7"/>
    <n v="67059887"/>
    <x v="27"/>
    <d v="1936-08-21T00:00:00"/>
    <d v="2026-02-03T00:00:00"/>
  </r>
  <r>
    <n v="29"/>
    <x v="8"/>
    <x v="28"/>
    <x v="8"/>
    <s v="Schindellegi"/>
    <s v="Shipping"/>
    <s v="Logistics"/>
    <x v="0"/>
    <x v="0"/>
    <x v="25"/>
    <x v="26"/>
    <x v="27"/>
    <n v="1937"/>
    <n v="6"/>
    <n v="2"/>
    <n v="99.55"/>
    <n v="703082435360"/>
    <n v="83.6"/>
    <n v="10.1"/>
    <n v="28.8"/>
    <n v="8574832"/>
    <x v="28"/>
    <d v="1937-06-02T00:00:00"/>
    <d v="2026-02-03T00:00:00"/>
  </r>
  <r>
    <n v="30"/>
    <x v="7"/>
    <x v="29"/>
    <x v="9"/>
    <s v="Brussels"/>
    <s v="Nutella, chocolates"/>
    <s v="Food &amp; Beverage"/>
    <x v="0"/>
    <x v="0"/>
    <x v="26"/>
    <x v="27"/>
    <x v="28"/>
    <n v="1964"/>
    <n v="9"/>
    <n v="21"/>
    <n v="117.11"/>
    <n v="529606710418"/>
    <n v="81.599999999999994"/>
    <n v="24"/>
    <n v="55.4"/>
    <n v="11484055"/>
    <x v="29"/>
    <d v="1964-09-21T00:00:00"/>
    <d v="2026-02-03T00:00:00"/>
  </r>
  <r>
    <n v="31"/>
    <x v="7"/>
    <x v="30"/>
    <x v="1"/>
    <s v="The Plains"/>
    <s v="Candy, pet food"/>
    <s v="Food &amp; Beverage"/>
    <x v="0"/>
    <x v="1"/>
    <x v="27"/>
    <x v="28"/>
    <x v="29"/>
    <n v="1939"/>
    <n v="10"/>
    <n v="10"/>
    <n v="117.24"/>
    <n v="21427700000000"/>
    <n v="78.5"/>
    <n v="9.6"/>
    <n v="36.6"/>
    <n v="328239523"/>
    <x v="30"/>
    <d v="1939-10-10T00:00:00"/>
    <d v="2026-02-03T00:00:00"/>
  </r>
  <r>
    <n v="31"/>
    <x v="7"/>
    <x v="31"/>
    <x v="1"/>
    <s v="Jackson"/>
    <s v="Candy, pet food"/>
    <s v="Food &amp; Beverage"/>
    <x v="0"/>
    <x v="0"/>
    <x v="27"/>
    <x v="29"/>
    <x v="29"/>
    <n v="1935"/>
    <n v="10"/>
    <n v="15"/>
    <n v="117.24"/>
    <n v="21427700000000"/>
    <n v="78.5"/>
    <n v="9.6"/>
    <n v="36.6"/>
    <n v="328239523"/>
    <x v="31"/>
    <d v="1935-10-15T00:00:00"/>
    <d v="2026-02-03T00:00:00"/>
  </r>
  <r>
    <n v="34"/>
    <x v="2"/>
    <x v="32"/>
    <x v="5"/>
    <s v="Shenzhen"/>
    <s v="Internet media"/>
    <s v="Technology"/>
    <x v="1"/>
    <x v="0"/>
    <x v="28"/>
    <x v="30"/>
    <x v="30"/>
    <n v="1971"/>
    <n v="10"/>
    <n v="29"/>
    <n v="125.08"/>
    <n v="19910000000000"/>
    <n v="77"/>
    <n v="9.4"/>
    <n v="59.2"/>
    <n v="1397715000"/>
    <x v="32"/>
    <d v="1971-10-29T00:00:00"/>
    <d v="2026-02-03T00:00:00"/>
  </r>
  <r>
    <n v="35"/>
    <x v="9"/>
    <x v="33"/>
    <x v="1"/>
    <s v="Las Vegas"/>
    <s v="Casinos"/>
    <s v="Gambling &amp; Casinos"/>
    <x v="0"/>
    <x v="1"/>
    <x v="29"/>
    <x v="31"/>
    <x v="31"/>
    <n v="1945"/>
    <n v="10"/>
    <n v="10"/>
    <n v="117.24"/>
    <n v="21427700000000"/>
    <n v="78.5"/>
    <n v="9.6"/>
    <n v="36.6"/>
    <n v="328239523"/>
    <x v="33"/>
    <d v="1945-10-10T00:00:00"/>
    <d v="2026-02-03T00:00:00"/>
  </r>
  <r>
    <n v="35"/>
    <x v="3"/>
    <x v="34"/>
    <x v="1"/>
    <s v="Miami"/>
    <s v="Hedge funds"/>
    <s v="Finance &amp; Investments"/>
    <x v="1"/>
    <x v="0"/>
    <x v="30"/>
    <x v="32"/>
    <x v="31"/>
    <n v="1968"/>
    <n v="10"/>
    <n v="15"/>
    <n v="117.24"/>
    <n v="21427700000000"/>
    <n v="78.5"/>
    <n v="9.6"/>
    <n v="36.6"/>
    <n v="328239523"/>
    <x v="34"/>
    <d v="1968-10-15T00:00:00"/>
    <d v="2026-02-03T00:00:00"/>
  </r>
  <r>
    <n v="37"/>
    <x v="7"/>
    <x v="35"/>
    <x v="10"/>
    <s v="Salzburg"/>
    <s v="Red Bull"/>
    <s v="Food &amp; Beverage"/>
    <x v="0"/>
    <x v="0"/>
    <x v="31"/>
    <x v="14"/>
    <x v="32"/>
    <n v="1992"/>
    <n v="5"/>
    <n v="7"/>
    <n v="118.06"/>
    <n v="446314739528"/>
    <n v="81.599999999999994"/>
    <n v="25.4"/>
    <n v="51.4"/>
    <n v="8877067"/>
    <x v="35"/>
    <d v="1992-05-07T00:00:00"/>
    <d v="2026-02-03T00:00:00"/>
  </r>
  <r>
    <n v="38"/>
    <x v="1"/>
    <x v="36"/>
    <x v="5"/>
    <s v="Ningde"/>
    <s v="Batteries"/>
    <s v="Automotive"/>
    <x v="1"/>
    <x v="0"/>
    <x v="32"/>
    <x v="33"/>
    <x v="33"/>
    <n v="1969"/>
    <n v="1"/>
    <n v="1"/>
    <n v="125.08"/>
    <n v="19910000000000"/>
    <n v="77"/>
    <n v="9.4"/>
    <n v="59.2"/>
    <n v="1397715000"/>
    <x v="36"/>
    <d v="1969-01-01T00:00:00"/>
    <d v="2026-02-03T00:00:00"/>
  </r>
  <r>
    <n v="39"/>
    <x v="0"/>
    <x v="37"/>
    <x v="11"/>
    <s v="Tokyo"/>
    <s v="Fashion retail"/>
    <s v="Fashion &amp; Retail"/>
    <x v="1"/>
    <x v="0"/>
    <x v="33"/>
    <x v="34"/>
    <x v="34"/>
    <n v="1949"/>
    <n v="2"/>
    <n v="7"/>
    <n v="105.48"/>
    <n v="5081769542380"/>
    <n v="84.2"/>
    <n v="11.9"/>
    <n v="46.7"/>
    <n v="126226568"/>
    <x v="37"/>
    <d v="1949-02-07T00:00:00"/>
    <d v="2026-02-03T00:00:00"/>
  </r>
  <r>
    <n v="40"/>
    <x v="6"/>
    <x v="38"/>
    <x v="12"/>
    <s v="London"/>
    <s v="Music, chemicals"/>
    <s v="Diversified"/>
    <x v="1"/>
    <x v="0"/>
    <x v="34"/>
    <x v="35"/>
    <x v="35"/>
    <n v="1957"/>
    <n v="6"/>
    <n v="1"/>
    <n v="119.62"/>
    <n v="2827113184696"/>
    <n v="81.3"/>
    <n v="25.5"/>
    <n v="30.6"/>
    <n v="66834405"/>
    <x v="38"/>
    <d v="1957-06-01T00:00:00"/>
    <d v="2026-02-03T00:00:00"/>
  </r>
  <r>
    <n v="41"/>
    <x v="0"/>
    <x v="39"/>
    <x v="1"/>
    <s v="New York"/>
    <s v="Chanel"/>
    <s v="Fashion &amp; Retail"/>
    <x v="0"/>
    <x v="0"/>
    <x v="35"/>
    <x v="36"/>
    <x v="36"/>
    <n v="1948"/>
    <n v="8"/>
    <n v="28"/>
    <n v="117.24"/>
    <n v="21427700000000"/>
    <n v="78.5"/>
    <n v="9.6"/>
    <n v="36.6"/>
    <n v="328239523"/>
    <x v="39"/>
    <d v="1948-08-28T00:00:00"/>
    <d v="2026-02-03T00:00:00"/>
  </r>
  <r>
    <n v="41"/>
    <x v="0"/>
    <x v="40"/>
    <x v="1"/>
    <s v="New York"/>
    <s v="Chanel"/>
    <s v="Fashion &amp; Retail"/>
    <x v="0"/>
    <x v="0"/>
    <x v="35"/>
    <x v="37"/>
    <x v="36"/>
    <n v="1951"/>
    <n v="1"/>
    <n v="9"/>
    <n v="117.24"/>
    <n v="21427700000000"/>
    <n v="78.5"/>
    <n v="9.6"/>
    <n v="36.6"/>
    <n v="328239523"/>
    <x v="40"/>
    <d v="1951-01-09T00:00:00"/>
    <d v="2026-02-03T00:00:00"/>
  </r>
  <r>
    <n v="43"/>
    <x v="8"/>
    <x v="41"/>
    <x v="8"/>
    <s v="Geneva"/>
    <s v="Shipping"/>
    <s v="Logistics"/>
    <x v="1"/>
    <x v="0"/>
    <x v="36"/>
    <x v="38"/>
    <x v="37"/>
    <n v="1940"/>
    <n v="6"/>
    <n v="27"/>
    <n v="99.55"/>
    <n v="703082435360"/>
    <n v="83.6"/>
    <n v="10.1"/>
    <n v="28.8"/>
    <n v="8574832"/>
    <x v="41"/>
    <d v="1940-06-27T00:00:00"/>
    <d v="2026-02-03T00:00:00"/>
  </r>
  <r>
    <n v="43"/>
    <x v="8"/>
    <x v="42"/>
    <x v="8"/>
    <s v="Geneva"/>
    <s v="Shipping"/>
    <s v="Logistics"/>
    <x v="1"/>
    <x v="1"/>
    <x v="37"/>
    <x v="39"/>
    <x v="37"/>
    <n v="1945"/>
    <n v="3"/>
    <n v="26"/>
    <n v="99.55"/>
    <n v="703082435360"/>
    <n v="83.6"/>
    <n v="10.1"/>
    <n v="28.8"/>
    <n v="8574832"/>
    <x v="42"/>
    <d v="1945-03-26T00:00:00"/>
    <d v="2026-02-03T00:00:00"/>
  </r>
  <r>
    <n v="45"/>
    <x v="2"/>
    <x v="43"/>
    <x v="5"/>
    <s v="Shanghai"/>
    <s v="E-commerce"/>
    <s v="Technology"/>
    <x v="1"/>
    <x v="0"/>
    <x v="38"/>
    <x v="40"/>
    <x v="38"/>
    <n v="1980"/>
    <n v="2"/>
    <n v="2"/>
    <n v="125.08"/>
    <n v="19910000000000"/>
    <n v="77"/>
    <n v="9.4"/>
    <n v="59.2"/>
    <n v="1397715000"/>
    <x v="43"/>
    <d v="1980-02-02T00:00:00"/>
    <d v="2026-02-03T00:00:00"/>
  </r>
  <r>
    <n v="46"/>
    <x v="10"/>
    <x v="44"/>
    <x v="7"/>
    <s v="Kuenzelsau"/>
    <s v="Fasteners"/>
    <s v="Manufacturing"/>
    <x v="1"/>
    <x v="0"/>
    <x v="39"/>
    <x v="41"/>
    <x v="39"/>
    <n v="1935"/>
    <n v="4"/>
    <n v="20"/>
    <n v="112.85"/>
    <n v="3845630030824"/>
    <n v="80.900000000000006"/>
    <n v="11.5"/>
    <n v="48.8"/>
    <n v="83132799"/>
    <x v="44"/>
    <d v="1935-04-20T00:00:00"/>
    <d v="2026-02-03T00:00:00"/>
  </r>
  <r>
    <n v="48"/>
    <x v="3"/>
    <x v="45"/>
    <x v="1"/>
    <s v="Haverford"/>
    <s v="Trading, investments"/>
    <s v="Finance &amp; Investments"/>
    <x v="1"/>
    <x v="0"/>
    <x v="40"/>
    <x v="2"/>
    <x v="40"/>
    <n v="1958"/>
    <n v="7"/>
    <n v="17"/>
    <n v="117.24"/>
    <n v="21427700000000"/>
    <n v="78.5"/>
    <n v="9.6"/>
    <n v="36.6"/>
    <n v="328239523"/>
    <x v="45"/>
    <d v="1958-07-17T00:00:00"/>
    <d v="2026-02-03T00:00:00"/>
  </r>
  <r>
    <n v="49"/>
    <x v="3"/>
    <x v="46"/>
    <x v="1"/>
    <s v="East Setauket"/>
    <s v="Hedge funds"/>
    <s v="Finance &amp; Investments"/>
    <x v="1"/>
    <x v="0"/>
    <x v="41"/>
    <x v="17"/>
    <x v="41"/>
    <n v="1938"/>
    <n v="4"/>
    <n v="25"/>
    <n v="117.24"/>
    <n v="21427700000000"/>
    <n v="78.5"/>
    <n v="9.6"/>
    <n v="36.6"/>
    <n v="328239523"/>
    <x v="46"/>
    <d v="1938-04-25T00:00:00"/>
    <d v="2026-02-03T00:00:00"/>
  </r>
  <r>
    <n v="50"/>
    <x v="3"/>
    <x v="47"/>
    <x v="1"/>
    <s v="New York"/>
    <s v="Investments"/>
    <s v="Finance &amp; Investments"/>
    <x v="1"/>
    <x v="0"/>
    <x v="42"/>
    <x v="42"/>
    <x v="42"/>
    <n v="1947"/>
    <n v="2"/>
    <n v="14"/>
    <n v="117.24"/>
    <n v="21427700000000"/>
    <n v="78.5"/>
    <n v="9.6"/>
    <n v="36.6"/>
    <n v="328239523"/>
    <x v="47"/>
    <d v="1947-02-14T00:00:00"/>
    <d v="2026-02-03T00:00:00"/>
  </r>
  <r>
    <n v="51"/>
    <x v="1"/>
    <x v="48"/>
    <x v="7"/>
    <s v="Bad Homburg"/>
    <s v="BMW, pharmaceuticals"/>
    <s v="Automotive"/>
    <x v="0"/>
    <x v="1"/>
    <x v="43"/>
    <x v="43"/>
    <x v="43"/>
    <n v="1962"/>
    <n v="4"/>
    <n v="28"/>
    <n v="112.85"/>
    <n v="3845630030824"/>
    <n v="80.900000000000006"/>
    <n v="11.5"/>
    <n v="48.8"/>
    <n v="83132799"/>
    <x v="48"/>
    <d v="1962-04-28T00:00:00"/>
    <d v="2026-02-03T00:00:00"/>
  </r>
  <r>
    <n v="52"/>
    <x v="11"/>
    <x v="49"/>
    <x v="13"/>
    <s v="Perth"/>
    <s v="Mining"/>
    <s v="Metals &amp; Mining"/>
    <x v="0"/>
    <x v="1"/>
    <x v="44"/>
    <x v="44"/>
    <x v="44"/>
    <n v="1954"/>
    <n v="2"/>
    <n v="9"/>
    <n v="119.8"/>
    <n v="1392680589329"/>
    <n v="82.7"/>
    <n v="23"/>
    <n v="47.4"/>
    <n v="25766605"/>
    <x v="49"/>
    <d v="1954-02-09T00:00:00"/>
    <d v="2026-02-03T00:00:00"/>
  </r>
  <r>
    <n v="53"/>
    <x v="2"/>
    <x v="50"/>
    <x v="5"/>
    <s v="Hangzhou"/>
    <s v="Online games"/>
    <s v="Technology"/>
    <x v="1"/>
    <x v="0"/>
    <x v="45"/>
    <x v="45"/>
    <x v="45"/>
    <n v="1971"/>
    <n v="10"/>
    <n v="1"/>
    <n v="125.08"/>
    <n v="19910000000000"/>
    <n v="77"/>
    <n v="9.4"/>
    <n v="59.2"/>
    <n v="1397715000"/>
    <x v="50"/>
    <d v="1971-10-01T00:00:00"/>
    <d v="2026-02-03T00:00:00"/>
  </r>
  <r>
    <n v="54"/>
    <x v="11"/>
    <x v="51"/>
    <x v="2"/>
    <s v="Mexico City"/>
    <s v="Mining"/>
    <s v="Metals &amp; Mining"/>
    <x v="0"/>
    <x v="0"/>
    <x v="46"/>
    <x v="46"/>
    <x v="46"/>
    <n v="1953"/>
    <n v="10"/>
    <n v="26"/>
    <n v="141.54"/>
    <n v="1258286717125"/>
    <n v="75"/>
    <n v="13.1"/>
    <n v="55.1"/>
    <n v="126014024"/>
    <x v="51"/>
    <d v="1953-10-26T00:00:00"/>
    <d v="2026-02-03T00:00:00"/>
  </r>
  <r>
    <n v="55"/>
    <x v="2"/>
    <x v="52"/>
    <x v="3"/>
    <s v="Delhi"/>
    <s v="software services"/>
    <s v="Technology"/>
    <x v="1"/>
    <x v="0"/>
    <x v="47"/>
    <x v="47"/>
    <x v="47"/>
    <n v="1945"/>
    <n v="7"/>
    <n v="18"/>
    <n v="180.44"/>
    <n v="2611000000000"/>
    <n v="69.400000000000006"/>
    <n v="11.2"/>
    <n v="49.7"/>
    <n v="1366417754"/>
    <x v="52"/>
    <d v="1945-07-18T00:00:00"/>
    <d v="2026-02-03T00:00:00"/>
  </r>
  <r>
    <n v="56"/>
    <x v="12"/>
    <x v="53"/>
    <x v="14"/>
    <s v="Jakarta"/>
    <s v="Coal"/>
    <s v="Energy"/>
    <x v="1"/>
    <x v="0"/>
    <x v="48"/>
    <x v="48"/>
    <x v="48"/>
    <n v="1948"/>
    <n v="4"/>
    <n v="17"/>
    <n v="151.18"/>
    <n v="1119190780753"/>
    <n v="71.5"/>
    <n v="10.199999999999999"/>
    <n v="30.1"/>
    <n v="270203917"/>
    <x v="53"/>
    <d v="1948-04-17T00:00:00"/>
    <d v="2026-02-03T00:00:00"/>
  </r>
  <r>
    <n v="57"/>
    <x v="3"/>
    <x v="54"/>
    <x v="1"/>
    <s v="Palm Beach"/>
    <s v="Discount brokerage"/>
    <s v="Finance &amp; Investments"/>
    <x v="1"/>
    <x v="0"/>
    <x v="49"/>
    <x v="49"/>
    <x v="49"/>
    <n v="1944"/>
    <n v="9"/>
    <n v="30"/>
    <n v="117.24"/>
    <n v="21427700000000"/>
    <n v="78.5"/>
    <n v="9.6"/>
    <n v="36.6"/>
    <n v="328239523"/>
    <x v="54"/>
    <d v="1944-09-30T00:00:00"/>
    <d v="2026-02-03T00:00:00"/>
  </r>
  <r>
    <n v="58"/>
    <x v="11"/>
    <x v="55"/>
    <x v="15"/>
    <s v="Ras Al Khaimah"/>
    <s v="Fertilizers, coal"/>
    <s v="Metals &amp; Mining"/>
    <x v="1"/>
    <x v="0"/>
    <x v="50"/>
    <x v="50"/>
    <x v="50"/>
    <n v="1972"/>
    <n v="3"/>
    <n v="8"/>
    <n v="114.52"/>
    <n v="421142267938"/>
    <n v="77.8"/>
    <n v="0.1"/>
    <n v="15.9"/>
    <n v="9770529"/>
    <x v="55"/>
    <d v="1972-03-08T00:00:00"/>
    <d v="2026-02-03T00:00:00"/>
  </r>
  <r>
    <n v="59"/>
    <x v="1"/>
    <x v="56"/>
    <x v="7"/>
    <s v="Frankfurt"/>
    <s v="BMW"/>
    <s v="Automotive"/>
    <x v="0"/>
    <x v="0"/>
    <x v="51"/>
    <x v="51"/>
    <x v="51"/>
    <n v="1966"/>
    <n v="5"/>
    <n v="9"/>
    <n v="112.85"/>
    <n v="3845630030824"/>
    <n v="80.900000000000006"/>
    <n v="11.5"/>
    <n v="48.8"/>
    <n v="83132799"/>
    <x v="56"/>
    <d v="1966-05-09T00:00:00"/>
    <d v="2026-02-03T00:00:00"/>
  </r>
  <r>
    <n v="60"/>
    <x v="2"/>
    <x v="57"/>
    <x v="1"/>
    <s v="Seattle"/>
    <s v="Amazon"/>
    <s v="Technology"/>
    <x v="0"/>
    <x v="1"/>
    <x v="52"/>
    <x v="52"/>
    <x v="52"/>
    <n v="1970"/>
    <n v="4"/>
    <n v="7"/>
    <n v="117.24"/>
    <n v="21427700000000"/>
    <n v="78.5"/>
    <n v="9.6"/>
    <n v="36.6"/>
    <n v="328239523"/>
    <x v="57"/>
    <d v="1970-04-07T00:00:00"/>
    <d v="2026-02-03T00:00:00"/>
  </r>
  <r>
    <n v="61"/>
    <x v="3"/>
    <x v="58"/>
    <x v="14"/>
    <s v="Kudus"/>
    <s v="Banking, tobacco"/>
    <s v="Finance &amp; Investments"/>
    <x v="0"/>
    <x v="0"/>
    <x v="53"/>
    <x v="53"/>
    <x v="53"/>
    <n v="1941"/>
    <n v="1"/>
    <n v="1"/>
    <n v="151.18"/>
    <n v="1119190780753"/>
    <n v="71.5"/>
    <n v="10.199999999999999"/>
    <n v="30.1"/>
    <n v="270203917"/>
    <x v="58"/>
    <d v="1941-01-01T00:00:00"/>
    <d v="2026-02-03T00:00:00"/>
  </r>
  <r>
    <n v="62"/>
    <x v="11"/>
    <x v="59"/>
    <x v="16"/>
    <s v="Moscow"/>
    <s v="Metals"/>
    <s v="Metals &amp; Mining"/>
    <x v="1"/>
    <x v="0"/>
    <x v="54"/>
    <x v="54"/>
    <x v="54"/>
    <n v="1961"/>
    <n v="1"/>
    <n v="3"/>
    <n v="180.75"/>
    <n v="1699876578871"/>
    <n v="72.7"/>
    <n v="11.4"/>
    <n v="46.2"/>
    <n v="144373535"/>
    <x v="59"/>
    <d v="1961-01-03T00:00:00"/>
    <d v="2026-02-03T00:00:00"/>
  </r>
  <r>
    <n v="63"/>
    <x v="2"/>
    <x v="60"/>
    <x v="5"/>
    <s v="Hangzhou"/>
    <s v="E-commerce"/>
    <s v="Technology"/>
    <x v="1"/>
    <x v="0"/>
    <x v="28"/>
    <x v="55"/>
    <x v="55"/>
    <n v="1964"/>
    <n v="9"/>
    <n v="10"/>
    <n v="125.08"/>
    <n v="19910000000000"/>
    <n v="77"/>
    <n v="9.4"/>
    <n v="59.2"/>
    <n v="1397715000"/>
    <x v="60"/>
    <d v="1964-09-10T00:00:00"/>
    <d v="2026-02-03T00:00:00"/>
  </r>
  <r>
    <n v="64"/>
    <x v="10"/>
    <x v="61"/>
    <x v="5"/>
    <s v="Foshan"/>
    <s v="Home appliances"/>
    <s v="Manufacturing"/>
    <x v="1"/>
    <x v="0"/>
    <x v="55"/>
    <x v="56"/>
    <x v="56"/>
    <n v="1942"/>
    <n v="8"/>
    <n v="11"/>
    <n v="125.08"/>
    <n v="19910000000000"/>
    <n v="77"/>
    <n v="9.4"/>
    <n v="59.2"/>
    <n v="1397715000"/>
    <x v="61"/>
    <d v="1942-08-11T00:00:00"/>
    <d v="2026-02-03T00:00:00"/>
  </r>
  <r>
    <n v="65"/>
    <x v="11"/>
    <x v="62"/>
    <x v="17"/>
    <s v="Santiago"/>
    <s v="Mining"/>
    <s v="Metals &amp; Mining"/>
    <x v="0"/>
    <x v="1"/>
    <x v="56"/>
    <x v="57"/>
    <x v="57"/>
    <n v="1943"/>
    <n v="1"/>
    <n v="1"/>
    <n v="131.91"/>
    <n v="282318159745"/>
    <n v="80"/>
    <n v="18.2"/>
    <n v="34"/>
    <n v="18952038"/>
    <x v="62"/>
    <d v="1943-01-01T00:00:00"/>
    <d v="2026-02-03T00:00:00"/>
  </r>
  <r>
    <n v="65"/>
    <x v="10"/>
    <x v="63"/>
    <x v="14"/>
    <s v="Kudus"/>
    <s v="Banking, tobacco"/>
    <s v="Manufacturing"/>
    <x v="0"/>
    <x v="0"/>
    <x v="53"/>
    <x v="6"/>
    <x v="57"/>
    <n v="1939"/>
    <n v="10"/>
    <n v="2"/>
    <n v="151.18"/>
    <n v="1119190780753"/>
    <n v="71.5"/>
    <n v="10.199999999999999"/>
    <n v="30.1"/>
    <n v="270203917"/>
    <x v="63"/>
    <d v="1939-10-02T00:00:00"/>
    <d v="2026-02-03T00:00:00"/>
  </r>
  <r>
    <n v="67"/>
    <x v="10"/>
    <x v="64"/>
    <x v="12"/>
    <s v="London"/>
    <s v="Chemicals"/>
    <s v="Manufacturing"/>
    <x v="1"/>
    <x v="0"/>
    <x v="57"/>
    <x v="58"/>
    <x v="58"/>
    <n v="1953"/>
    <n v="1"/>
    <n v="1"/>
    <n v="119.62"/>
    <n v="2827113184696"/>
    <n v="81.3"/>
    <n v="25.5"/>
    <n v="30.6"/>
    <n v="66834405"/>
    <x v="64"/>
    <d v="1953-01-01T00:00:00"/>
    <d v="2026-02-03T00:00:00"/>
  </r>
  <r>
    <n v="68"/>
    <x v="13"/>
    <x v="65"/>
    <x v="3"/>
    <s v="Pune"/>
    <s v="Vaccines"/>
    <s v="Healthcare"/>
    <x v="0"/>
    <x v="0"/>
    <x v="58"/>
    <x v="59"/>
    <x v="59"/>
    <n v="1941"/>
    <n v="5"/>
    <n v="11"/>
    <n v="180.44"/>
    <n v="2611000000000"/>
    <n v="69.400000000000006"/>
    <n v="11.2"/>
    <n v="49.7"/>
    <n v="1366417754"/>
    <x v="65"/>
    <d v="1941-05-11T00:00:00"/>
    <d v="2026-02-03T00:00:00"/>
  </r>
  <r>
    <n v="69"/>
    <x v="5"/>
    <x v="66"/>
    <x v="11"/>
    <s v="Tokyo"/>
    <s v="Internet, telecom"/>
    <s v="Telecom"/>
    <x v="1"/>
    <x v="0"/>
    <x v="59"/>
    <x v="60"/>
    <x v="60"/>
    <n v="1957"/>
    <n v="8"/>
    <n v="11"/>
    <n v="105.48"/>
    <n v="5081769542380"/>
    <n v="84.2"/>
    <n v="11.9"/>
    <n v="46.7"/>
    <n v="126226568"/>
    <x v="66"/>
    <d v="1957-08-11T00:00:00"/>
    <d v="2026-02-03T00:00:00"/>
  </r>
  <r>
    <n v="70"/>
    <x v="11"/>
    <x v="67"/>
    <x v="16"/>
    <s v="Moscow"/>
    <s v="Steel, transport"/>
    <s v="Metals &amp; Mining"/>
    <x v="1"/>
    <x v="0"/>
    <x v="60"/>
    <x v="54"/>
    <x v="61"/>
    <n v="1956"/>
    <n v="5"/>
    <n v="7"/>
    <n v="180.75"/>
    <n v="1699876578871"/>
    <n v="72.7"/>
    <n v="11.4"/>
    <n v="46.2"/>
    <n v="144373535"/>
    <x v="67"/>
    <d v="1956-05-07T00:00:00"/>
    <d v="2026-02-03T00:00:00"/>
  </r>
  <r>
    <n v="71"/>
    <x v="7"/>
    <x v="68"/>
    <x v="0"/>
    <s v="Laval"/>
    <s v="Cheese"/>
    <s v="Food &amp; Beverage"/>
    <x v="0"/>
    <x v="0"/>
    <x v="61"/>
    <x v="61"/>
    <x v="62"/>
    <n v="1970"/>
    <n v="9"/>
    <n v="18"/>
    <n v="110.05"/>
    <n v="2715518274227"/>
    <n v="82.5"/>
    <n v="24.2"/>
    <n v="60.7"/>
    <n v="67059887"/>
    <x v="68"/>
    <d v="1970-09-18T00:00:00"/>
    <d v="2026-02-03T00:00:00"/>
  </r>
  <r>
    <n v="72"/>
    <x v="3"/>
    <x v="69"/>
    <x v="1"/>
    <s v="Milton"/>
    <s v="Fidelity"/>
    <s v="Finance &amp; Investments"/>
    <x v="0"/>
    <x v="1"/>
    <x v="62"/>
    <x v="62"/>
    <x v="63"/>
    <n v="1961"/>
    <n v="12"/>
    <n v="19"/>
    <n v="117.24"/>
    <n v="21427700000000"/>
    <n v="78.5"/>
    <n v="9.6"/>
    <n v="36.6"/>
    <n v="328239523"/>
    <x v="69"/>
    <d v="1961-12-19T00:00:00"/>
    <d v="2026-02-03T00:00:00"/>
  </r>
  <r>
    <n v="72"/>
    <x v="12"/>
    <x v="70"/>
    <x v="16"/>
    <s v="Moscow"/>
    <s v="Gas, chemicals"/>
    <s v="Energy"/>
    <x v="1"/>
    <x v="0"/>
    <x v="63"/>
    <x v="63"/>
    <x v="63"/>
    <n v="1955"/>
    <n v="8"/>
    <n v="11"/>
    <n v="180.75"/>
    <n v="1699876578871"/>
    <n v="72.7"/>
    <n v="11.4"/>
    <n v="46.2"/>
    <n v="144373535"/>
    <x v="70"/>
    <d v="1955-08-11T00:00:00"/>
    <d v="2026-02-03T00:00:00"/>
  </r>
  <r>
    <n v="74"/>
    <x v="0"/>
    <x v="71"/>
    <x v="1"/>
    <s v="Chicago"/>
    <s v="Walmart"/>
    <s v="Fashion &amp; Retail"/>
    <x v="0"/>
    <x v="0"/>
    <x v="17"/>
    <x v="64"/>
    <x v="64"/>
    <n v="1986"/>
    <n v="9"/>
    <n v="19"/>
    <n v="117.24"/>
    <n v="21427700000000"/>
    <n v="78.5"/>
    <n v="9.6"/>
    <n v="36.6"/>
    <n v="328239523"/>
    <x v="71"/>
    <d v="1986-09-19T00:00:00"/>
    <d v="2026-02-03T00:00:00"/>
  </r>
  <r>
    <n v="74"/>
    <x v="14"/>
    <x v="72"/>
    <x v="5"/>
    <s v="Shenzhen"/>
    <s v="Package delivery"/>
    <s v="Service"/>
    <x v="1"/>
    <x v="0"/>
    <x v="64"/>
    <x v="65"/>
    <x v="64"/>
    <n v="1970"/>
    <n v="10"/>
    <n v="1"/>
    <n v="125.08"/>
    <n v="19910000000000"/>
    <n v="77"/>
    <n v="9.4"/>
    <n v="59.2"/>
    <n v="1397715000"/>
    <x v="72"/>
    <d v="1970-10-01T00:00:00"/>
    <d v="2026-02-03T00:00:00"/>
  </r>
  <r>
    <n v="76"/>
    <x v="2"/>
    <x v="73"/>
    <x v="1"/>
    <s v="Los Altos"/>
    <s v="Semiconductors"/>
    <s v="Technology"/>
    <x v="1"/>
    <x v="0"/>
    <x v="38"/>
    <x v="66"/>
    <x v="65"/>
    <n v="1963"/>
    <n v="2"/>
    <n v="17"/>
    <n v="117.24"/>
    <n v="21427700000000"/>
    <n v="78.5"/>
    <n v="9.6"/>
    <n v="36.6"/>
    <n v="328239523"/>
    <x v="73"/>
    <d v="1963-02-17T00:00:00"/>
    <d v="2026-02-03T00:00:00"/>
  </r>
  <r>
    <n v="77"/>
    <x v="0"/>
    <x v="74"/>
    <x v="1"/>
    <s v="New York"/>
    <s v="Estee Lauder"/>
    <s v="Fashion &amp; Retail"/>
    <x v="0"/>
    <x v="0"/>
    <x v="65"/>
    <x v="67"/>
    <x v="66"/>
    <n v="1933"/>
    <n v="3"/>
    <n v="19"/>
    <n v="117.24"/>
    <n v="21427700000000"/>
    <n v="78.5"/>
    <n v="9.6"/>
    <n v="36.6"/>
    <n v="328239523"/>
    <x v="74"/>
    <d v="1933-03-19T00:00:00"/>
    <d v="2026-02-03T00:00:00"/>
  </r>
  <r>
    <n v="77"/>
    <x v="10"/>
    <x v="75"/>
    <x v="11"/>
    <s v="Osaka"/>
    <s v="Sensors"/>
    <s v="Manufacturing"/>
    <x v="1"/>
    <x v="0"/>
    <x v="66"/>
    <x v="68"/>
    <x v="66"/>
    <n v="1945"/>
    <n v="6"/>
    <n v="10"/>
    <n v="105.48"/>
    <n v="5081769542380"/>
    <n v="84.2"/>
    <n v="11.9"/>
    <n v="46.7"/>
    <n v="126226568"/>
    <x v="75"/>
    <d v="1945-06-10T00:00:00"/>
    <d v="2026-02-03T00:00:00"/>
  </r>
  <r>
    <n v="79"/>
    <x v="11"/>
    <x v="76"/>
    <x v="16"/>
    <s v="Moscow"/>
    <s v="Steel, investments"/>
    <s v="Metals &amp; Mining"/>
    <x v="1"/>
    <x v="0"/>
    <x v="67"/>
    <x v="69"/>
    <x v="67"/>
    <n v="1965"/>
    <n v="9"/>
    <n v="26"/>
    <n v="180.75"/>
    <n v="1699876578871"/>
    <n v="72.7"/>
    <n v="11.4"/>
    <n v="46.2"/>
    <n v="144373535"/>
    <x v="76"/>
    <d v="1965-09-26T00:00:00"/>
    <d v="2026-02-03T00:00:00"/>
  </r>
  <r>
    <n v="80"/>
    <x v="12"/>
    <x v="77"/>
    <x v="16"/>
    <s v="Moscow"/>
    <s v="Oil"/>
    <s v="Energy"/>
    <x v="1"/>
    <x v="0"/>
    <x v="68"/>
    <x v="70"/>
    <x v="68"/>
    <n v="1950"/>
    <n v="9"/>
    <n v="1"/>
    <n v="180.75"/>
    <n v="1699876578871"/>
    <n v="72.7"/>
    <n v="11.4"/>
    <n v="46.2"/>
    <n v="144373535"/>
    <x v="77"/>
    <d v="1950-09-01T00:00:00"/>
    <d v="2026-02-03T00:00:00"/>
  </r>
  <r>
    <n v="81"/>
    <x v="13"/>
    <x v="78"/>
    <x v="1"/>
    <s v="Nashville"/>
    <s v="Hospitals"/>
    <s v="Healthcare"/>
    <x v="1"/>
    <x v="0"/>
    <x v="69"/>
    <x v="49"/>
    <x v="69"/>
    <n v="1938"/>
    <n v="8"/>
    <n v="12"/>
    <n v="117.24"/>
    <n v="21427700000000"/>
    <n v="78.5"/>
    <n v="9.6"/>
    <n v="36.6"/>
    <n v="328239523"/>
    <x v="78"/>
    <d v="1938-08-12T00:00:00"/>
    <d v="2026-02-03T00:00:00"/>
  </r>
  <r>
    <n v="82"/>
    <x v="11"/>
    <x v="79"/>
    <x v="13"/>
    <s v="Perth"/>
    <s v="Mining"/>
    <s v="Metals &amp; Mining"/>
    <x v="1"/>
    <x v="0"/>
    <x v="70"/>
    <x v="71"/>
    <x v="70"/>
    <n v="1961"/>
    <n v="11"/>
    <n v="18"/>
    <n v="119.8"/>
    <n v="1392680589329"/>
    <n v="82.7"/>
    <n v="23"/>
    <n v="47.4"/>
    <n v="25766605"/>
    <x v="79"/>
    <d v="1961-11-18T00:00:00"/>
    <d v="2026-02-03T00:00:00"/>
  </r>
  <r>
    <n v="83"/>
    <x v="3"/>
    <x v="80"/>
    <x v="1"/>
    <s v="Greenwich"/>
    <s v="Hedge funds"/>
    <s v="Finance &amp; Investments"/>
    <x v="1"/>
    <x v="0"/>
    <x v="71"/>
    <x v="72"/>
    <x v="71"/>
    <n v="1949"/>
    <n v="8"/>
    <n v="8"/>
    <n v="117.24"/>
    <n v="21427700000000"/>
    <n v="78.5"/>
    <n v="9.6"/>
    <n v="36.6"/>
    <n v="328239523"/>
    <x v="80"/>
    <d v="1949-08-08T00:00:00"/>
    <d v="2026-02-03T00:00:00"/>
  </r>
  <r>
    <n v="84"/>
    <x v="1"/>
    <x v="81"/>
    <x v="5"/>
    <s v="Hangzhou"/>
    <s v="Automobiles"/>
    <s v="Automotive"/>
    <x v="1"/>
    <x v="0"/>
    <x v="72"/>
    <x v="73"/>
    <x v="72"/>
    <n v="1963"/>
    <n v="6"/>
    <n v="1"/>
    <n v="125.08"/>
    <n v="19910000000000"/>
    <n v="77"/>
    <n v="9.4"/>
    <n v="59.2"/>
    <n v="1397715000"/>
    <x v="81"/>
    <d v="1963-06-01T00:00:00"/>
    <d v="2026-02-03T00:00:00"/>
  </r>
  <r>
    <n v="84"/>
    <x v="11"/>
    <x v="82"/>
    <x v="5"/>
    <s v="Shenzhen"/>
    <s v="Mining, copper products"/>
    <s v="Metals &amp; Mining"/>
    <x v="1"/>
    <x v="0"/>
    <x v="64"/>
    <x v="74"/>
    <x v="72"/>
    <n v="1968"/>
    <n v="3"/>
    <n v="1"/>
    <n v="125.08"/>
    <n v="19910000000000"/>
    <n v="77"/>
    <n v="9.4"/>
    <n v="59.2"/>
    <n v="1397715000"/>
    <x v="82"/>
    <d v="1968-03-01T00:00:00"/>
    <d v="2026-02-03T00:00:00"/>
  </r>
  <r>
    <n v="86"/>
    <x v="7"/>
    <x v="83"/>
    <x v="5"/>
    <s v="Nanyang"/>
    <s v="Pig breeding"/>
    <s v="Food &amp; Beverage"/>
    <x v="1"/>
    <x v="0"/>
    <x v="73"/>
    <x v="75"/>
    <x v="73"/>
    <n v="1965"/>
    <n v="4"/>
    <n v="17"/>
    <n v="125.08"/>
    <n v="19910000000000"/>
    <n v="77"/>
    <n v="9.4"/>
    <n v="59.2"/>
    <n v="1397715000"/>
    <x v="83"/>
    <d v="1965-04-17T00:00:00"/>
    <d v="2026-02-03T00:00:00"/>
  </r>
  <r>
    <n v="88"/>
    <x v="1"/>
    <x v="84"/>
    <x v="5"/>
    <s v="Shenzhen"/>
    <s v="Batteries, automobiles"/>
    <s v="Automotive"/>
    <x v="1"/>
    <x v="0"/>
    <x v="64"/>
    <x v="76"/>
    <x v="74"/>
    <n v="1966"/>
    <n v="2"/>
    <n v="15"/>
    <n v="125.08"/>
    <n v="19910000000000"/>
    <n v="77"/>
    <n v="9.4"/>
    <n v="59.2"/>
    <n v="1397715000"/>
    <x v="84"/>
    <d v="1966-02-15T00:00:00"/>
    <d v="2026-02-03T00:00:00"/>
  </r>
  <r>
    <n v="89"/>
    <x v="12"/>
    <x v="85"/>
    <x v="1"/>
    <s v="Oklahoma City"/>
    <s v="Oil &amp; gas"/>
    <s v="Energy"/>
    <x v="1"/>
    <x v="0"/>
    <x v="74"/>
    <x v="77"/>
    <x v="75"/>
    <n v="1945"/>
    <n v="12"/>
    <n v="11"/>
    <n v="117.24"/>
    <n v="21427700000000"/>
    <n v="78.5"/>
    <n v="9.6"/>
    <n v="36.6"/>
    <n v="328239523"/>
    <x v="85"/>
    <d v="1945-12-11T00:00:00"/>
    <d v="2026-02-03T00:00:00"/>
  </r>
  <r>
    <n v="89"/>
    <x v="3"/>
    <x v="86"/>
    <x v="1"/>
    <s v="Palm Beach"/>
    <s v="Hedge funds"/>
    <s v="Finance &amp; Investments"/>
    <x v="1"/>
    <x v="0"/>
    <x v="75"/>
    <x v="20"/>
    <x v="75"/>
    <n v="1957"/>
    <n v="9"/>
    <n v="11"/>
    <n v="117.24"/>
    <n v="21427700000000"/>
    <n v="78.5"/>
    <n v="9.6"/>
    <n v="36.6"/>
    <n v="328239523"/>
    <x v="86"/>
    <d v="1957-09-11T00:00:00"/>
    <d v="2026-02-03T00:00:00"/>
  </r>
  <r>
    <n v="89"/>
    <x v="12"/>
    <x v="87"/>
    <x v="16"/>
    <s v="Moscow"/>
    <s v="Oil, gas"/>
    <s v="Energy"/>
    <x v="1"/>
    <x v="0"/>
    <x v="76"/>
    <x v="78"/>
    <x v="75"/>
    <n v="1952"/>
    <n v="11"/>
    <n v="9"/>
    <n v="180.75"/>
    <n v="1699876578871"/>
    <n v="72.7"/>
    <n v="11.4"/>
    <n v="46.2"/>
    <n v="144373535"/>
    <x v="87"/>
    <d v="1952-11-09T00:00:00"/>
    <d v="2026-02-03T00:00:00"/>
  </r>
  <r>
    <n v="92"/>
    <x v="3"/>
    <x v="88"/>
    <x v="1"/>
    <s v="Franklin"/>
    <s v="Quicken Loans"/>
    <s v="Finance &amp; Investments"/>
    <x v="1"/>
    <x v="0"/>
    <x v="77"/>
    <x v="79"/>
    <x v="76"/>
    <n v="1962"/>
    <n v="1"/>
    <n v="17"/>
    <n v="117.24"/>
    <n v="21427700000000"/>
    <n v="78.5"/>
    <n v="9.6"/>
    <n v="36.6"/>
    <n v="328239523"/>
    <x v="88"/>
    <d v="1962-01-17T00:00:00"/>
    <d v="2026-02-03T00:00:00"/>
  </r>
  <r>
    <n v="93"/>
    <x v="11"/>
    <x v="89"/>
    <x v="12"/>
    <s v="London"/>
    <s v="Steel"/>
    <s v="Metals &amp; Mining"/>
    <x v="0"/>
    <x v="0"/>
    <x v="78"/>
    <x v="80"/>
    <x v="77"/>
    <n v="1950"/>
    <n v="6"/>
    <n v="15"/>
    <n v="119.62"/>
    <n v="2827113184696"/>
    <n v="81.3"/>
    <n v="25.5"/>
    <n v="30.6"/>
    <n v="66834405"/>
    <x v="89"/>
    <d v="1950-06-15T00:00:00"/>
    <d v="2026-02-03T00:00:00"/>
  </r>
  <r>
    <n v="94"/>
    <x v="3"/>
    <x v="90"/>
    <x v="1"/>
    <s v="Greenwich"/>
    <s v="Hedge funds"/>
    <s v="Finance &amp; Investments"/>
    <x v="1"/>
    <x v="0"/>
    <x v="79"/>
    <x v="9"/>
    <x v="78"/>
    <n v="1956"/>
    <n v="6"/>
    <n v="11"/>
    <n v="117.24"/>
    <n v="21427700000000"/>
    <n v="78.5"/>
    <n v="9.6"/>
    <n v="36.6"/>
    <n v="328239523"/>
    <x v="90"/>
    <d v="1956-06-11T00:00:00"/>
    <d v="2026-02-03T00:00:00"/>
  </r>
  <r>
    <n v="94"/>
    <x v="3"/>
    <x v="91"/>
    <x v="1"/>
    <s v="Indian Creek"/>
    <s v="Investments"/>
    <s v="Finance &amp; Investments"/>
    <x v="1"/>
    <x v="0"/>
    <x v="80"/>
    <x v="81"/>
    <x v="78"/>
    <n v="1936"/>
    <n v="2"/>
    <n v="16"/>
    <n v="117.24"/>
    <n v="21427700000000"/>
    <n v="78.5"/>
    <n v="9.6"/>
    <n v="36.6"/>
    <n v="328239523"/>
    <x v="91"/>
    <d v="1936-02-16T00:00:00"/>
    <d v="2026-02-03T00:00:00"/>
  </r>
  <r>
    <n v="94"/>
    <x v="11"/>
    <x v="92"/>
    <x v="3"/>
    <s v="Hisar"/>
    <s v="Steel"/>
    <s v="Metals &amp; Mining"/>
    <x v="0"/>
    <x v="1"/>
    <x v="81"/>
    <x v="82"/>
    <x v="78"/>
    <n v="1950"/>
    <n v="3"/>
    <n v="20"/>
    <n v="180.44"/>
    <n v="2611000000000"/>
    <n v="69.400000000000006"/>
    <n v="11.2"/>
    <n v="49.7"/>
    <n v="1366417754"/>
    <x v="92"/>
    <d v="1950-03-20T00:00:00"/>
    <d v="2026-02-03T00:00:00"/>
  </r>
  <r>
    <n v="97"/>
    <x v="15"/>
    <x v="93"/>
    <x v="1"/>
    <s v="Newport Beach"/>
    <s v="Real estate"/>
    <s v="Real Estate"/>
    <x v="1"/>
    <x v="0"/>
    <x v="82"/>
    <x v="83"/>
    <x v="79"/>
    <n v="1932"/>
    <n v="5"/>
    <n v="11"/>
    <n v="117.24"/>
    <n v="21427700000000"/>
    <n v="78.5"/>
    <n v="9.6"/>
    <n v="36.6"/>
    <n v="328239523"/>
    <x v="93"/>
    <d v="1932-05-11T00:00:00"/>
    <d v="2026-02-03T00:00:00"/>
  </r>
  <r>
    <n v="97"/>
    <x v="0"/>
    <x v="94"/>
    <x v="1"/>
    <s v="Eau Claire"/>
    <s v="Home improvement stores"/>
    <s v="Fashion &amp; Retail"/>
    <x v="1"/>
    <x v="0"/>
    <x v="83"/>
    <x v="29"/>
    <x v="79"/>
    <n v="1940"/>
    <n v="1"/>
    <n v="22"/>
    <n v="117.24"/>
    <n v="21427700000000"/>
    <n v="78.5"/>
    <n v="9.6"/>
    <n v="36.6"/>
    <n v="328239523"/>
    <x v="94"/>
    <d v="1940-01-22T00:00:00"/>
    <d v="2026-02-03T00:00:00"/>
  </r>
  <r>
    <n v="99"/>
    <x v="4"/>
    <x v="95"/>
    <x v="1"/>
    <s v="New York"/>
    <s v="Newspapers, TV network"/>
    <s v="Media &amp; Entertainment"/>
    <x v="0"/>
    <x v="0"/>
    <x v="84"/>
    <x v="84"/>
    <x v="80"/>
    <n v="1931"/>
    <n v="3"/>
    <n v="11"/>
    <n v="117.24"/>
    <n v="21427700000000"/>
    <n v="78.5"/>
    <n v="9.6"/>
    <n v="36.6"/>
    <n v="328239523"/>
    <x v="95"/>
    <d v="1931-03-11T00:00:00"/>
    <d v="2026-02-03T00:00:00"/>
  </r>
  <r>
    <n v="100"/>
    <x v="3"/>
    <x v="96"/>
    <x v="8"/>
    <s v="Crans-Montana"/>
    <s v="Banking"/>
    <s v="Finance &amp; Investments"/>
    <x v="0"/>
    <x v="1"/>
    <x v="85"/>
    <x v="85"/>
    <x v="81"/>
    <n v="1953"/>
    <n v="1"/>
    <n v="1"/>
    <n v="99.55"/>
    <n v="703082435360"/>
    <n v="83.6"/>
    <n v="10.1"/>
    <n v="28.8"/>
    <n v="8574832"/>
    <x v="64"/>
    <d v="1953-01-01T00:00:00"/>
    <d v="2026-02-03T00:00:00"/>
  </r>
  <r>
    <n v="101"/>
    <x v="0"/>
    <x v="97"/>
    <x v="7"/>
    <s v="Mulheim an der Ruhr"/>
    <s v="Aldi, Trader Joe's"/>
    <s v="Fashion &amp; Retail"/>
    <x v="0"/>
    <x v="0"/>
    <x v="86"/>
    <x v="86"/>
    <x v="82"/>
    <n v="1951"/>
    <n v="1"/>
    <n v="1"/>
    <n v="112.85"/>
    <n v="3845630030824"/>
    <n v="80.900000000000006"/>
    <n v="11.5"/>
    <n v="48.8"/>
    <n v="83132799"/>
    <x v="96"/>
    <d v="1951-01-01T00:00:00"/>
    <d v="2026-02-03T00:00:00"/>
  </r>
  <r>
    <n v="101"/>
    <x v="3"/>
    <x v="98"/>
    <x v="18"/>
    <s v="Prague"/>
    <s v="Finance, telecommunications"/>
    <s v="Finance &amp; Investments"/>
    <x v="0"/>
    <x v="1"/>
    <x v="87"/>
    <x v="87"/>
    <x v="82"/>
    <n v="1967"/>
    <n v="7"/>
    <n v="4"/>
    <n v="116.48"/>
    <n v="246489245495"/>
    <n v="79"/>
    <n v="14.9"/>
    <n v="46.1"/>
    <n v="10669709"/>
    <x v="97"/>
    <d v="1967-07-04T00:00:00"/>
    <d v="2026-02-03T00:00:00"/>
  </r>
  <r>
    <n v="103"/>
    <x v="13"/>
    <x v="99"/>
    <x v="5"/>
    <s v="Shenzhen"/>
    <s v="medical devices"/>
    <s v="Healthcare"/>
    <x v="1"/>
    <x v="0"/>
    <x v="72"/>
    <x v="88"/>
    <x v="83"/>
    <n v="1951"/>
    <n v="1"/>
    <n v="1"/>
    <n v="125.08"/>
    <n v="19910000000000"/>
    <n v="77"/>
    <n v="9.4"/>
    <n v="59.2"/>
    <n v="1397715000"/>
    <x v="96"/>
    <d v="1951-01-01T00:00:00"/>
    <d v="2026-02-03T00:00:00"/>
  </r>
  <r>
    <n v="104"/>
    <x v="0"/>
    <x v="100"/>
    <x v="19"/>
    <s v="Stockholm"/>
    <s v="H&amp;M"/>
    <s v="Fashion &amp; Retail"/>
    <x v="0"/>
    <x v="0"/>
    <x v="88"/>
    <x v="51"/>
    <x v="84"/>
    <n v="1947"/>
    <n v="10"/>
    <n v="4"/>
    <n v="110.51"/>
    <n v="530832908738"/>
    <n v="82.5"/>
    <n v="27.9"/>
    <n v="49.1"/>
    <n v="10285453"/>
    <x v="98"/>
    <d v="1947-10-04T00:00:00"/>
    <d v="2026-02-03T00:00:00"/>
  </r>
  <r>
    <n v="104"/>
    <x v="2"/>
    <x v="101"/>
    <x v="1"/>
    <s v="Atherton"/>
    <s v="Google"/>
    <s v="Technology"/>
    <x v="1"/>
    <x v="0"/>
    <x v="89"/>
    <x v="73"/>
    <x v="84"/>
    <n v="1955"/>
    <n v="4"/>
    <n v="27"/>
    <n v="117.24"/>
    <n v="21427700000000"/>
    <n v="78.5"/>
    <n v="9.6"/>
    <n v="36.6"/>
    <n v="328239523"/>
    <x v="99"/>
    <d v="1955-04-27T00:00:00"/>
    <d v="2026-02-03T00:00:00"/>
  </r>
  <r>
    <n v="106"/>
    <x v="3"/>
    <x v="102"/>
    <x v="8"/>
    <s v="Geneva"/>
    <s v="Hedge funds"/>
    <s v="Finance &amp; Investments"/>
    <x v="1"/>
    <x v="0"/>
    <x v="90"/>
    <x v="6"/>
    <x v="85"/>
    <n v="1968"/>
    <n v="3"/>
    <n v="18"/>
    <n v="99.55"/>
    <n v="703082435360"/>
    <n v="83.6"/>
    <n v="10.1"/>
    <n v="28.8"/>
    <n v="8574832"/>
    <x v="100"/>
    <d v="1968-03-18T00:00:00"/>
    <d v="2026-02-03T00:00:00"/>
  </r>
  <r>
    <n v="107"/>
    <x v="7"/>
    <x v="103"/>
    <x v="5"/>
    <s v="Foshan"/>
    <s v="Soy sauce"/>
    <s v="Food &amp; Beverage"/>
    <x v="1"/>
    <x v="0"/>
    <x v="91"/>
    <x v="89"/>
    <x v="86"/>
    <n v="1956"/>
    <n v="1"/>
    <n v="19"/>
    <n v="125.08"/>
    <n v="19910000000000"/>
    <n v="77"/>
    <n v="9.4"/>
    <n v="59.2"/>
    <n v="1397715000"/>
    <x v="101"/>
    <d v="1956-01-19T00:00:00"/>
    <d v="2026-02-03T00:00:00"/>
  </r>
  <r>
    <n v="108"/>
    <x v="7"/>
    <x v="104"/>
    <x v="8"/>
    <s v="Zurich"/>
    <s v="Beer"/>
    <s v="Food &amp; Beverage"/>
    <x v="1"/>
    <x v="0"/>
    <x v="92"/>
    <x v="90"/>
    <x v="87"/>
    <n v="1939"/>
    <n v="8"/>
    <n v="26"/>
    <n v="99.55"/>
    <n v="703082435360"/>
    <n v="83.6"/>
    <n v="10.1"/>
    <n v="28.8"/>
    <n v="8574832"/>
    <x v="102"/>
    <d v="1939-08-26T00:00:00"/>
    <d v="2026-02-03T00:00:00"/>
  </r>
  <r>
    <n v="112"/>
    <x v="13"/>
    <x v="105"/>
    <x v="3"/>
    <s v="Mumbai"/>
    <s v="Pharmaceuticals"/>
    <s v="Healthcare"/>
    <x v="1"/>
    <x v="0"/>
    <x v="93"/>
    <x v="91"/>
    <x v="88"/>
    <n v="1955"/>
    <n v="10"/>
    <n v="1"/>
    <n v="180.44"/>
    <n v="2611000000000"/>
    <n v="69.400000000000006"/>
    <n v="11.2"/>
    <n v="49.7"/>
    <n v="1366417754"/>
    <x v="103"/>
    <d v="1955-10-01T00:00:00"/>
    <d v="2026-02-03T00:00:00"/>
  </r>
  <r>
    <n v="113"/>
    <x v="2"/>
    <x v="106"/>
    <x v="1"/>
    <s v="San Jose"/>
    <s v="Wireless networking"/>
    <s v="Technology"/>
    <x v="1"/>
    <x v="0"/>
    <x v="94"/>
    <x v="92"/>
    <x v="89"/>
    <n v="1978"/>
    <n v="3"/>
    <n v="10"/>
    <n v="117.24"/>
    <n v="21427700000000"/>
    <n v="78.5"/>
    <n v="9.6"/>
    <n v="36.6"/>
    <n v="328239523"/>
    <x v="104"/>
    <d v="1978-03-10T00:00:00"/>
    <d v="2026-02-03T00:00:00"/>
  </r>
  <r>
    <n v="114"/>
    <x v="0"/>
    <x v="107"/>
    <x v="3"/>
    <s v="Mumbai"/>
    <s v="Retail, investments"/>
    <s v="Fashion &amp; Retail"/>
    <x v="1"/>
    <x v="0"/>
    <x v="95"/>
    <x v="93"/>
    <x v="90"/>
    <n v="1955"/>
    <n v="1"/>
    <n v="1"/>
    <n v="180.44"/>
    <n v="2611000000000"/>
    <n v="69.400000000000006"/>
    <n v="11.2"/>
    <n v="49.7"/>
    <n v="1366417754"/>
    <x v="105"/>
    <d v="1955-01-01T00:00:00"/>
    <d v="2026-02-03T00:00:00"/>
  </r>
  <r>
    <n v="115"/>
    <x v="1"/>
    <x v="108"/>
    <x v="5"/>
    <s v="Ningde"/>
    <s v="Batteries"/>
    <s v="Automotive"/>
    <x v="1"/>
    <x v="0"/>
    <x v="38"/>
    <x v="94"/>
    <x v="91"/>
    <n v="1967"/>
    <n v="1"/>
    <n v="1"/>
    <n v="125.08"/>
    <n v="19910000000000"/>
    <n v="77"/>
    <n v="9.4"/>
    <n v="59.2"/>
    <n v="1397715000"/>
    <x v="106"/>
    <d v="1967-01-01T00:00:00"/>
    <d v="2026-02-03T00:00:00"/>
  </r>
  <r>
    <n v="116"/>
    <x v="6"/>
    <x v="109"/>
    <x v="20"/>
    <s v="Bangkok"/>
    <s v="Diversified"/>
    <s v="Diversified"/>
    <x v="0"/>
    <x v="0"/>
    <x v="96"/>
    <x v="95"/>
    <x v="92"/>
    <n v="1939"/>
    <n v="4"/>
    <n v="19"/>
    <n v="113.27"/>
    <n v="543649976166"/>
    <n v="76.900000000000006"/>
    <n v="14.9"/>
    <n v="29.5"/>
    <n v="69625582"/>
    <x v="107"/>
    <d v="1939-04-19T00:00:00"/>
    <d v="2026-02-03T00:00:00"/>
  </r>
  <r>
    <n v="116"/>
    <x v="0"/>
    <x v="110"/>
    <x v="1"/>
    <s v="Oklahoma City"/>
    <s v="Retail"/>
    <s v="Fashion &amp; Retail"/>
    <x v="1"/>
    <x v="0"/>
    <x v="97"/>
    <x v="20"/>
    <x v="92"/>
    <n v="1941"/>
    <n v="11"/>
    <n v="13"/>
    <n v="117.24"/>
    <n v="21427700000000"/>
    <n v="78.5"/>
    <n v="9.6"/>
    <n v="36.6"/>
    <n v="328239523"/>
    <x v="108"/>
    <d v="1941-11-13T00:00:00"/>
    <d v="2026-02-03T00:00:00"/>
  </r>
  <r>
    <n v="118"/>
    <x v="7"/>
    <x v="111"/>
    <x v="20"/>
    <s v="Bangkok"/>
    <s v="Alcohol, real estate"/>
    <s v="Food &amp; Beverage"/>
    <x v="1"/>
    <x v="0"/>
    <x v="98"/>
    <x v="96"/>
    <x v="93"/>
    <n v="1944"/>
    <n v="5"/>
    <n v="2"/>
    <n v="113.27"/>
    <n v="543649976166"/>
    <n v="76.900000000000006"/>
    <n v="14.9"/>
    <n v="29.5"/>
    <n v="69625582"/>
    <x v="109"/>
    <d v="1944-05-02T00:00:00"/>
    <d v="2026-02-03T00:00:00"/>
  </r>
  <r>
    <n v="119"/>
    <x v="7"/>
    <x v="112"/>
    <x v="12"/>
    <s v="London"/>
    <s v="Heineken"/>
    <s v="Food &amp; Beverage"/>
    <x v="0"/>
    <x v="1"/>
    <x v="99"/>
    <x v="97"/>
    <x v="94"/>
    <n v="1954"/>
    <n v="6"/>
    <n v="30"/>
    <n v="119.62"/>
    <n v="2827113184696"/>
    <n v="81.3"/>
    <n v="25.5"/>
    <n v="30.6"/>
    <n v="66834405"/>
    <x v="110"/>
    <d v="1954-06-30T00:00:00"/>
    <d v="2026-02-03T00:00:00"/>
  </r>
  <r>
    <n v="120"/>
    <x v="13"/>
    <x v="113"/>
    <x v="5"/>
    <s v="Shenzhen"/>
    <s v="Medical devices"/>
    <s v="Healthcare"/>
    <x v="1"/>
    <x v="0"/>
    <x v="100"/>
    <x v="98"/>
    <x v="95"/>
    <n v="1962"/>
    <n v="5"/>
    <n v="22"/>
    <n v="125.08"/>
    <n v="19910000000000"/>
    <n v="77"/>
    <n v="9.4"/>
    <n v="59.2"/>
    <n v="1397715000"/>
    <x v="111"/>
    <d v="1962-05-22T00:00:00"/>
    <d v="2026-02-03T00:00:00"/>
  </r>
  <r>
    <n v="121"/>
    <x v="1"/>
    <x v="114"/>
    <x v="5"/>
    <s v="Baoding"/>
    <s v="Automobiles"/>
    <s v="Automotive"/>
    <x v="1"/>
    <x v="0"/>
    <x v="101"/>
    <x v="99"/>
    <x v="96"/>
    <n v="1964"/>
    <n v="3"/>
    <n v="1"/>
    <n v="125.08"/>
    <n v="19910000000000"/>
    <n v="77"/>
    <n v="9.4"/>
    <n v="59.2"/>
    <n v="1397715000"/>
    <x v="112"/>
    <d v="1964-03-01T00:00:00"/>
    <d v="2026-02-03T00:00:00"/>
  </r>
  <r>
    <n v="123"/>
    <x v="10"/>
    <x v="115"/>
    <x v="21"/>
    <s v="Singapore"/>
    <s v="Paints"/>
    <s v="Manufacturing"/>
    <x v="1"/>
    <x v="0"/>
    <x v="102"/>
    <x v="100"/>
    <x v="97"/>
    <n v="1927"/>
    <n v="6"/>
    <n v="27"/>
    <n v="114.41"/>
    <n v="372062527489"/>
    <n v="83.1"/>
    <n v="13.1"/>
    <n v="21"/>
    <n v="5703569"/>
    <x v="113"/>
    <d v="1927-06-27T00:00:00"/>
    <d v="2026-02-03T00:00:00"/>
  </r>
  <r>
    <n v="124"/>
    <x v="6"/>
    <x v="116"/>
    <x v="3"/>
    <s v="Mumbai"/>
    <s v="Commodities"/>
    <s v="Diversified"/>
    <x v="0"/>
    <x v="0"/>
    <x v="103"/>
    <x v="101"/>
    <x v="98"/>
    <n v="1967"/>
    <n v="6"/>
    <n v="14"/>
    <n v="180.44"/>
    <n v="2611000000000"/>
    <n v="69.400000000000006"/>
    <n v="11.2"/>
    <n v="49.7"/>
    <n v="1366417754"/>
    <x v="114"/>
    <d v="1967-06-14T00:00:00"/>
    <d v="2026-02-03T00:00:00"/>
  </r>
  <r>
    <n v="124"/>
    <x v="10"/>
    <x v="117"/>
    <x v="22"/>
    <s v="Lagos"/>
    <s v="Cement, sugar"/>
    <s v="Manufacturing"/>
    <x v="1"/>
    <x v="0"/>
    <x v="104"/>
    <x v="102"/>
    <x v="98"/>
    <n v="1957"/>
    <n v="4"/>
    <n v="10"/>
    <n v="267.51"/>
    <n v="448120428859"/>
    <n v="54.3"/>
    <n v="1.5"/>
    <n v="34.799999999999997"/>
    <n v="200963599"/>
    <x v="115"/>
    <d v="1957-04-10T00:00:00"/>
    <d v="2026-02-03T00:00:00"/>
  </r>
  <r>
    <n v="127"/>
    <x v="6"/>
    <x v="118"/>
    <x v="12"/>
    <s v="London"/>
    <s v="Shipping"/>
    <s v="Diversified"/>
    <x v="0"/>
    <x v="0"/>
    <x v="105"/>
    <x v="103"/>
    <x v="99"/>
    <n v="1955"/>
    <n v="10"/>
    <n v="2"/>
    <n v="119.62"/>
    <n v="2827113184696"/>
    <n v="81.3"/>
    <n v="25.5"/>
    <n v="30.6"/>
    <n v="66834405"/>
    <x v="116"/>
    <d v="1955-10-02T00:00:00"/>
    <d v="2026-02-03T00:00:00"/>
  </r>
  <r>
    <n v="128"/>
    <x v="13"/>
    <x v="119"/>
    <x v="5"/>
    <s v="Changsha"/>
    <s v="Hospitals"/>
    <s v="Healthcare"/>
    <x v="1"/>
    <x v="0"/>
    <x v="106"/>
    <x v="104"/>
    <x v="100"/>
    <n v="1965"/>
    <n v="9"/>
    <n v="1"/>
    <n v="125.08"/>
    <n v="19910000000000"/>
    <n v="77"/>
    <n v="9.4"/>
    <n v="59.2"/>
    <n v="1397715000"/>
    <x v="117"/>
    <d v="1965-09-01T00:00:00"/>
    <d v="2026-02-03T00:00:00"/>
  </r>
  <r>
    <n v="130"/>
    <x v="8"/>
    <x v="120"/>
    <x v="12"/>
    <s v="London"/>
    <s v="Shipping"/>
    <s v="Logistics"/>
    <x v="1"/>
    <x v="0"/>
    <x v="107"/>
    <x v="29"/>
    <x v="101"/>
    <n v="1945"/>
    <n v="2"/>
    <n v="1"/>
    <n v="119.62"/>
    <n v="2827113184696"/>
    <n v="81.3"/>
    <n v="25.5"/>
    <n v="30.6"/>
    <n v="66834405"/>
    <x v="118"/>
    <d v="1945-02-01T00:00:00"/>
    <d v="2026-02-03T00:00:00"/>
  </r>
  <r>
    <n v="130"/>
    <x v="16"/>
    <x v="121"/>
    <x v="1"/>
    <s v="Afton"/>
    <s v="Building supplies"/>
    <s v="Construction &amp; Engineering"/>
    <x v="1"/>
    <x v="1"/>
    <x v="108"/>
    <x v="105"/>
    <x v="101"/>
    <n v="1947"/>
    <n v="3"/>
    <n v="2"/>
    <n v="117.24"/>
    <n v="21427700000000"/>
    <n v="78.5"/>
    <n v="9.6"/>
    <n v="36.6"/>
    <n v="328239523"/>
    <x v="119"/>
    <d v="1947-03-02T00:00:00"/>
    <d v="2026-02-03T00:00:00"/>
  </r>
  <r>
    <n v="130"/>
    <x v="2"/>
    <x v="122"/>
    <x v="1"/>
    <s v="Atherton"/>
    <s v="WhatsApp"/>
    <s v="Technology"/>
    <x v="1"/>
    <x v="0"/>
    <x v="109"/>
    <x v="106"/>
    <x v="101"/>
    <n v="1976"/>
    <n v="2"/>
    <n v="24"/>
    <n v="117.24"/>
    <n v="21427700000000"/>
    <n v="78.5"/>
    <n v="9.6"/>
    <n v="36.6"/>
    <n v="328239523"/>
    <x v="120"/>
    <d v="1976-02-24T00:00:00"/>
    <d v="2026-02-03T00:00:00"/>
  </r>
  <r>
    <n v="133"/>
    <x v="17"/>
    <x v="123"/>
    <x v="1"/>
    <s v="Dallas"/>
    <s v="Dallas Cowboys"/>
    <s v="Sports"/>
    <x v="1"/>
    <x v="0"/>
    <x v="110"/>
    <x v="107"/>
    <x v="102"/>
    <n v="1942"/>
    <n v="10"/>
    <n v="13"/>
    <n v="117.24"/>
    <n v="21427700000000"/>
    <n v="78.5"/>
    <n v="9.6"/>
    <n v="36.6"/>
    <n v="328239523"/>
    <x v="121"/>
    <d v="1942-10-13T00:00:00"/>
    <d v="2026-02-03T00:00:00"/>
  </r>
  <r>
    <n v="133"/>
    <x v="12"/>
    <x v="124"/>
    <x v="1"/>
    <s v="Tulsa"/>
    <s v="Oil &amp; gas, banking"/>
    <s v="Energy"/>
    <x v="0"/>
    <x v="0"/>
    <x v="111"/>
    <x v="108"/>
    <x v="102"/>
    <n v="1942"/>
    <n v="7"/>
    <n v="29"/>
    <n v="117.24"/>
    <n v="21427700000000"/>
    <n v="78.5"/>
    <n v="9.6"/>
    <n v="36.6"/>
    <n v="328239523"/>
    <x v="122"/>
    <d v="1942-07-29T00:00:00"/>
    <d v="2026-02-03T00:00:00"/>
  </r>
  <r>
    <n v="136"/>
    <x v="1"/>
    <x v="125"/>
    <x v="5"/>
    <s v="Guangzhou"/>
    <s v="Automobiles, batteries"/>
    <s v="Automotive"/>
    <x v="1"/>
    <x v="0"/>
    <x v="112"/>
    <x v="109"/>
    <x v="103"/>
    <n v="1962"/>
    <n v="12"/>
    <n v="28"/>
    <n v="125.08"/>
    <n v="19910000000000"/>
    <n v="77"/>
    <n v="9.4"/>
    <n v="59.2"/>
    <n v="1397715000"/>
    <x v="123"/>
    <d v="1962-12-28T00:00:00"/>
    <d v="2026-02-03T00:00:00"/>
  </r>
  <r>
    <n v="137"/>
    <x v="15"/>
    <x v="126"/>
    <x v="13"/>
    <s v="Sydney"/>
    <s v="Real estate"/>
    <s v="Real Estate"/>
    <x v="1"/>
    <x v="0"/>
    <x v="113"/>
    <x v="110"/>
    <x v="104"/>
    <n v="1933"/>
    <n v="3"/>
    <n v="3"/>
    <n v="119.8"/>
    <n v="1392680589329"/>
    <n v="82.7"/>
    <n v="23"/>
    <n v="47.4"/>
    <n v="25766605"/>
    <x v="124"/>
    <d v="1933-03-03T00:00:00"/>
    <d v="2026-02-03T00:00:00"/>
  </r>
  <r>
    <n v="138"/>
    <x v="3"/>
    <x v="127"/>
    <x v="3"/>
    <s v="Mumbai"/>
    <s v="Banking"/>
    <s v="Finance &amp; Investments"/>
    <x v="1"/>
    <x v="0"/>
    <x v="114"/>
    <x v="111"/>
    <x v="105"/>
    <n v="1959"/>
    <n v="3"/>
    <n v="15"/>
    <n v="180.44"/>
    <n v="2611000000000"/>
    <n v="69.400000000000006"/>
    <n v="11.2"/>
    <n v="49.7"/>
    <n v="1366417754"/>
    <x v="125"/>
    <d v="1959-03-15T00:00:00"/>
    <d v="2026-02-03T00:00:00"/>
  </r>
  <r>
    <n v="138"/>
    <x v="17"/>
    <x v="128"/>
    <x v="1"/>
    <s v="Electra"/>
    <s v="Sports, real estate"/>
    <s v="Sports"/>
    <x v="1"/>
    <x v="0"/>
    <x v="115"/>
    <x v="112"/>
    <x v="105"/>
    <n v="1947"/>
    <n v="7"/>
    <n v="29"/>
    <n v="117.24"/>
    <n v="21427700000000"/>
    <n v="78.5"/>
    <n v="9.6"/>
    <n v="36.6"/>
    <n v="328239523"/>
    <x v="126"/>
    <d v="1947-07-29T00:00:00"/>
    <d v="2026-02-03T00:00:00"/>
  </r>
  <r>
    <n v="140"/>
    <x v="12"/>
    <x v="129"/>
    <x v="12"/>
    <s v="London"/>
    <s v="Oil, banking, telecom"/>
    <s v="Energy"/>
    <x v="1"/>
    <x v="0"/>
    <x v="116"/>
    <x v="113"/>
    <x v="106"/>
    <n v="1964"/>
    <n v="4"/>
    <n v="21"/>
    <n v="119.62"/>
    <n v="2827113184696"/>
    <n v="81.3"/>
    <n v="25.5"/>
    <n v="30.6"/>
    <n v="66834405"/>
    <x v="127"/>
    <d v="1964-04-21T00:00:00"/>
    <d v="2026-02-03T00:00:00"/>
  </r>
  <r>
    <n v="141"/>
    <x v="12"/>
    <x v="130"/>
    <x v="20"/>
    <s v="Bangkok"/>
    <s v="Energy"/>
    <s v="Energy"/>
    <x v="1"/>
    <x v="0"/>
    <x v="117"/>
    <x v="114"/>
    <x v="107"/>
    <n v="1965"/>
    <n v="7"/>
    <n v="12"/>
    <n v="113.27"/>
    <n v="543649976166"/>
    <n v="76.900000000000006"/>
    <n v="14.9"/>
    <n v="29.5"/>
    <n v="69625582"/>
    <x v="128"/>
    <d v="1965-07-12T00:00:00"/>
    <d v="2026-02-03T00:00:00"/>
  </r>
  <r>
    <n v="142"/>
    <x v="11"/>
    <x v="131"/>
    <x v="5"/>
    <s v="Yinchuan"/>
    <s v="Coal"/>
    <s v="Metals &amp; Mining"/>
    <x v="1"/>
    <x v="0"/>
    <x v="118"/>
    <x v="115"/>
    <x v="108"/>
    <n v="1973"/>
    <n v="2"/>
    <n v="1"/>
    <n v="125.08"/>
    <n v="19910000000000"/>
    <n v="77"/>
    <n v="9.4"/>
    <n v="59.2"/>
    <n v="1397715000"/>
    <x v="129"/>
    <d v="1973-02-01T00:00:00"/>
    <d v="2026-02-03T00:00:00"/>
  </r>
  <r>
    <n v="142"/>
    <x v="13"/>
    <x v="132"/>
    <x v="5"/>
    <s v="Chongqing"/>
    <s v="Vaccines"/>
    <s v="Healthcare"/>
    <x v="1"/>
    <x v="0"/>
    <x v="119"/>
    <x v="116"/>
    <x v="108"/>
    <n v="1953"/>
    <n v="10"/>
    <n v="8"/>
    <n v="125.08"/>
    <n v="19910000000000"/>
    <n v="77"/>
    <n v="9.4"/>
    <n v="59.2"/>
    <n v="1397715000"/>
    <x v="130"/>
    <d v="1953-10-08T00:00:00"/>
    <d v="2026-02-03T00:00:00"/>
  </r>
  <r>
    <n v="144"/>
    <x v="1"/>
    <x v="133"/>
    <x v="1"/>
    <s v="Naples"/>
    <s v="Auto parts"/>
    <s v="Automotive"/>
    <x v="1"/>
    <x v="0"/>
    <x v="120"/>
    <x v="117"/>
    <x v="109"/>
    <n v="1950"/>
    <n v="7"/>
    <n v="18"/>
    <n v="117.24"/>
    <n v="21427700000000"/>
    <n v="78.5"/>
    <n v="9.6"/>
    <n v="36.6"/>
    <n v="328239523"/>
    <x v="131"/>
    <d v="1950-07-18T00:00:00"/>
    <d v="2026-02-03T00:00:00"/>
  </r>
  <r>
    <n v="145"/>
    <x v="2"/>
    <x v="134"/>
    <x v="1"/>
    <s v="Palo Alto"/>
    <s v="Apple, Disney"/>
    <s v="Technology"/>
    <x v="0"/>
    <x v="1"/>
    <x v="121"/>
    <x v="118"/>
    <x v="110"/>
    <n v="1963"/>
    <n v="11"/>
    <n v="6"/>
    <n v="117.24"/>
    <n v="21427700000000"/>
    <n v="78.5"/>
    <n v="9.6"/>
    <n v="36.6"/>
    <n v="328239523"/>
    <x v="132"/>
    <d v="1963-11-06T00:00:00"/>
    <d v="2026-02-03T00:00:00"/>
  </r>
  <r>
    <n v="147"/>
    <x v="15"/>
    <x v="135"/>
    <x v="1"/>
    <s v="New York"/>
    <s v="Real estate"/>
    <s v="Real Estate"/>
    <x v="1"/>
    <x v="0"/>
    <x v="122"/>
    <x v="42"/>
    <x v="111"/>
    <n v="1940"/>
    <n v="5"/>
    <n v="10"/>
    <n v="117.24"/>
    <n v="21427700000000"/>
    <n v="78.5"/>
    <n v="9.6"/>
    <n v="36.6"/>
    <n v="328239523"/>
    <x v="133"/>
    <d v="1940-05-10T00:00:00"/>
    <d v="2026-02-03T00:00:00"/>
  </r>
  <r>
    <n v="148"/>
    <x v="2"/>
    <x v="136"/>
    <x v="15"/>
    <s v="Dubai"/>
    <s v="Messaging app"/>
    <s v="Technology"/>
    <x v="1"/>
    <x v="0"/>
    <x v="123"/>
    <x v="119"/>
    <x v="112"/>
    <n v="1984"/>
    <n v="10"/>
    <n v="10"/>
    <n v="114.52"/>
    <n v="421142267938"/>
    <n v="77.8"/>
    <n v="0.1"/>
    <n v="15.9"/>
    <n v="9770529"/>
    <x v="134"/>
    <d v="1984-10-10T00:00:00"/>
    <d v="2026-02-03T00:00:00"/>
  </r>
  <r>
    <n v="148"/>
    <x v="13"/>
    <x v="137"/>
    <x v="7"/>
    <s v="Tegernsee"/>
    <s v="Pharmaceuticals"/>
    <s v="Healthcare"/>
    <x v="1"/>
    <x v="0"/>
    <x v="124"/>
    <x v="120"/>
    <x v="112"/>
    <n v="1950"/>
    <n v="2"/>
    <n v="16"/>
    <n v="112.85"/>
    <n v="3845630030824"/>
    <n v="80.900000000000006"/>
    <n v="11.5"/>
    <n v="48.8"/>
    <n v="83132799"/>
    <x v="135"/>
    <d v="1950-02-16T00:00:00"/>
    <d v="2026-02-03T00:00:00"/>
  </r>
  <r>
    <n v="148"/>
    <x v="13"/>
    <x v="138"/>
    <x v="7"/>
    <s v="Tegernsee"/>
    <s v="Pharmaceuticals"/>
    <s v="Healthcare"/>
    <x v="1"/>
    <x v="0"/>
    <x v="124"/>
    <x v="49"/>
    <x v="112"/>
    <n v="1950"/>
    <n v="2"/>
    <n v="16"/>
    <n v="112.85"/>
    <n v="3845630030824"/>
    <n v="80.900000000000006"/>
    <n v="11.5"/>
    <n v="48.8"/>
    <n v="83132799"/>
    <x v="135"/>
    <d v="1950-02-16T00:00:00"/>
    <d v="2026-02-03T00:00:00"/>
  </r>
  <r>
    <n v="151"/>
    <x v="7"/>
    <x v="139"/>
    <x v="5"/>
    <s v="Chengdu"/>
    <s v="Agribusiness"/>
    <s v="Food &amp; Beverage"/>
    <x v="1"/>
    <x v="0"/>
    <x v="125"/>
    <x v="121"/>
    <x v="113"/>
    <n v="1964"/>
    <n v="1"/>
    <n v="1"/>
    <n v="125.08"/>
    <n v="19910000000000"/>
    <n v="77"/>
    <n v="9.4"/>
    <n v="59.2"/>
    <n v="1397715000"/>
    <x v="136"/>
    <d v="1964-01-01T00:00:00"/>
    <d v="2026-02-03T00:00:00"/>
  </r>
  <r>
    <n v="151"/>
    <x v="0"/>
    <x v="140"/>
    <x v="1"/>
    <s v="Bryn Mawr"/>
    <s v="Online retail"/>
    <s v="Fashion &amp; Retail"/>
    <x v="1"/>
    <x v="0"/>
    <x v="126"/>
    <x v="6"/>
    <x v="113"/>
    <n v="1972"/>
    <n v="7"/>
    <n v="21"/>
    <n v="117.24"/>
    <n v="21427700000000"/>
    <n v="78.5"/>
    <n v="9.6"/>
    <n v="36.6"/>
    <n v="328239523"/>
    <x v="137"/>
    <d v="1972-07-21T00:00:00"/>
    <d v="2026-02-03T00:00:00"/>
  </r>
  <r>
    <n v="153"/>
    <x v="3"/>
    <x v="141"/>
    <x v="1"/>
    <s v="New York"/>
    <s v="Hedge funds"/>
    <s v="Finance &amp; Investments"/>
    <x v="1"/>
    <x v="0"/>
    <x v="127"/>
    <x v="122"/>
    <x v="114"/>
    <n v="1948"/>
    <n v="9"/>
    <n v="30"/>
    <n v="117.24"/>
    <n v="21427700000000"/>
    <n v="78.5"/>
    <n v="9.6"/>
    <n v="36.6"/>
    <n v="328239523"/>
    <x v="138"/>
    <d v="1948-09-30T00:00:00"/>
    <d v="2026-02-03T00:00:00"/>
  </r>
  <r>
    <n v="153"/>
    <x v="10"/>
    <x v="142"/>
    <x v="23"/>
    <s v="Herzliya"/>
    <s v="Fertilizer, real estate"/>
    <s v="Manufacturing"/>
    <x v="1"/>
    <x v="0"/>
    <x v="128"/>
    <x v="123"/>
    <x v="114"/>
    <n v="1953"/>
    <n v="9"/>
    <n v="8"/>
    <n v="108.15"/>
    <n v="395098666122"/>
    <n v="82.8"/>
    <n v="23.1"/>
    <n v="25.3"/>
    <n v="9053300"/>
    <x v="139"/>
    <d v="1953-09-08T00:00:00"/>
    <d v="2026-02-03T00:00:00"/>
  </r>
  <r>
    <n v="153"/>
    <x v="10"/>
    <x v="143"/>
    <x v="13"/>
    <s v="Melbourne"/>
    <s v="Manufacturing"/>
    <s v="Manufacturing"/>
    <x v="0"/>
    <x v="0"/>
    <x v="129"/>
    <x v="124"/>
    <x v="114"/>
    <n v="1960"/>
    <n v="4"/>
    <n v="11"/>
    <n v="119.8"/>
    <n v="1392680589329"/>
    <n v="82.7"/>
    <n v="23"/>
    <n v="47.4"/>
    <n v="25766605"/>
    <x v="140"/>
    <d v="1960-04-11T00:00:00"/>
    <d v="2026-02-03T00:00:00"/>
  </r>
  <r>
    <n v="153"/>
    <x v="3"/>
    <x v="144"/>
    <x v="8"/>
    <s v="Frauenfeld"/>
    <s v="Investments"/>
    <s v="Finance &amp; Investments"/>
    <x v="1"/>
    <x v="0"/>
    <x v="130"/>
    <x v="113"/>
    <x v="114"/>
    <n v="1965"/>
    <n v="5"/>
    <n v="3"/>
    <n v="99.55"/>
    <n v="703082435360"/>
    <n v="83.6"/>
    <n v="10.1"/>
    <n v="28.8"/>
    <n v="8574832"/>
    <x v="141"/>
    <d v="1965-05-03T00:00:00"/>
    <d v="2026-02-03T00:00:00"/>
  </r>
  <r>
    <n v="157"/>
    <x v="0"/>
    <x v="145"/>
    <x v="24"/>
    <s v="Milan"/>
    <s v="Luxury goods"/>
    <s v="Fashion &amp; Retail"/>
    <x v="1"/>
    <x v="0"/>
    <x v="131"/>
    <x v="125"/>
    <x v="115"/>
    <n v="1934"/>
    <n v="7"/>
    <n v="11"/>
    <n v="110.62"/>
    <n v="2001244392042"/>
    <n v="82.9"/>
    <n v="24.3"/>
    <n v="59.1"/>
    <n v="60297396"/>
    <x v="142"/>
    <d v="1934-07-11T00:00:00"/>
    <d v="2026-02-03T00:00:00"/>
  </r>
  <r>
    <n v="157"/>
    <x v="0"/>
    <x v="146"/>
    <x v="25"/>
    <s v="Cape Town"/>
    <s v="Luxury goods"/>
    <s v="Fashion &amp; Retail"/>
    <x v="0"/>
    <x v="0"/>
    <x v="132"/>
    <x v="126"/>
    <x v="115"/>
    <n v="1950"/>
    <n v="6"/>
    <n v="1"/>
    <n v="158.93"/>
    <n v="351431649241"/>
    <n v="63.9"/>
    <n v="27.5"/>
    <n v="29.2"/>
    <n v="58558270"/>
    <x v="143"/>
    <d v="1950-06-01T00:00:00"/>
    <d v="2026-02-03T00:00:00"/>
  </r>
  <r>
    <n v="159"/>
    <x v="2"/>
    <x v="147"/>
    <x v="5"/>
    <s v="Shenzhen"/>
    <s v="Internet media"/>
    <s v="Technology"/>
    <x v="1"/>
    <x v="0"/>
    <x v="22"/>
    <x v="127"/>
    <x v="116"/>
    <n v="1972"/>
    <n v="1"/>
    <n v="1"/>
    <n v="125.08"/>
    <n v="19910000000000"/>
    <n v="77"/>
    <n v="9.4"/>
    <n v="59.2"/>
    <n v="1397715000"/>
    <x v="144"/>
    <d v="1972-01-01T00:00:00"/>
    <d v="2026-02-03T00:00:00"/>
  </r>
  <r>
    <n v="161"/>
    <x v="3"/>
    <x v="148"/>
    <x v="1"/>
    <s v="Denver"/>
    <s v="Energy, sports, entertainment"/>
    <s v="Finance &amp; Investments"/>
    <x v="0"/>
    <x v="0"/>
    <x v="133"/>
    <x v="128"/>
    <x v="117"/>
    <n v="1939"/>
    <n v="12"/>
    <n v="28"/>
    <n v="117.24"/>
    <n v="21427700000000"/>
    <n v="78.5"/>
    <n v="9.6"/>
    <n v="36.6"/>
    <n v="328239523"/>
    <x v="145"/>
    <d v="1939-12-28T00:00:00"/>
    <d v="2026-02-03T00:00:00"/>
  </r>
  <r>
    <n v="161"/>
    <x v="0"/>
    <x v="149"/>
    <x v="1"/>
    <s v="Oklahoma City"/>
    <s v="Gas stations"/>
    <s v="Fashion &amp; Retail"/>
    <x v="1"/>
    <x v="1"/>
    <x v="134"/>
    <x v="129"/>
    <x v="117"/>
    <n v="1937"/>
    <n v="6"/>
    <n v="17"/>
    <n v="117.24"/>
    <n v="21427700000000"/>
    <n v="78.5"/>
    <n v="9.6"/>
    <n v="36.6"/>
    <n v="328239523"/>
    <x v="146"/>
    <d v="1937-06-17T00:00:00"/>
    <d v="2026-02-03T00:00:00"/>
  </r>
  <r>
    <n v="161"/>
    <x v="0"/>
    <x v="150"/>
    <x v="2"/>
    <s v="Mexico City"/>
    <s v="Retail, media"/>
    <s v="Fashion &amp; Retail"/>
    <x v="0"/>
    <x v="0"/>
    <x v="135"/>
    <x v="130"/>
    <x v="117"/>
    <n v="1955"/>
    <n v="10"/>
    <n v="19"/>
    <n v="141.54"/>
    <n v="1258286717125"/>
    <n v="75"/>
    <n v="13.1"/>
    <n v="55.1"/>
    <n v="126014024"/>
    <x v="147"/>
    <d v="1955-10-19T00:00:00"/>
    <d v="2026-02-03T00:00:00"/>
  </r>
  <r>
    <n v="164"/>
    <x v="4"/>
    <x v="151"/>
    <x v="1"/>
    <s v="New York"/>
    <s v="Media"/>
    <s v="Media &amp; Entertainment"/>
    <x v="0"/>
    <x v="0"/>
    <x v="136"/>
    <x v="83"/>
    <x v="118"/>
    <n v="1929"/>
    <n v="8"/>
    <n v="5"/>
    <n v="117.24"/>
    <n v="21427700000000"/>
    <n v="78.5"/>
    <n v="9.6"/>
    <n v="36.6"/>
    <n v="328239523"/>
    <x v="148"/>
    <d v="1929-08-05T00:00:00"/>
    <d v="2026-02-03T00:00:00"/>
  </r>
  <r>
    <n v="165"/>
    <x v="17"/>
    <x v="152"/>
    <x v="1"/>
    <s v="Brookline"/>
    <s v="Manufacturing, New England Patriots"/>
    <s v="Sports"/>
    <x v="1"/>
    <x v="0"/>
    <x v="137"/>
    <x v="92"/>
    <x v="119"/>
    <n v="1941"/>
    <n v="6"/>
    <n v="5"/>
    <n v="117.24"/>
    <n v="21427700000000"/>
    <n v="78.5"/>
    <n v="9.6"/>
    <n v="36.6"/>
    <n v="328239523"/>
    <x v="149"/>
    <d v="1941-06-05T00:00:00"/>
    <d v="2026-02-03T00:00:00"/>
  </r>
  <r>
    <n v="165"/>
    <x v="7"/>
    <x v="153"/>
    <x v="26"/>
    <s v="Sao Paulo"/>
    <s v="Beer"/>
    <s v="Food &amp; Beverage"/>
    <x v="1"/>
    <x v="0"/>
    <x v="138"/>
    <x v="131"/>
    <x v="119"/>
    <n v="1950"/>
    <n v="1"/>
    <n v="1"/>
    <n v="167.4"/>
    <n v="1839758040766"/>
    <n v="75.7"/>
    <n v="14.2"/>
    <n v="65.099999999999994"/>
    <n v="212559417"/>
    <x v="150"/>
    <d v="1950-01-01T00:00:00"/>
    <d v="2026-02-03T00:00:00"/>
  </r>
  <r>
    <n v="167"/>
    <x v="3"/>
    <x v="154"/>
    <x v="16"/>
    <s v="Moscow"/>
    <s v="Gold"/>
    <s v="Finance &amp; Investments"/>
    <x v="1"/>
    <x v="0"/>
    <x v="139"/>
    <x v="132"/>
    <x v="120"/>
    <n v="1966"/>
    <n v="3"/>
    <n v="12"/>
    <n v="180.75"/>
    <n v="1699876578871"/>
    <n v="72.7"/>
    <n v="11.4"/>
    <n v="46.2"/>
    <n v="144373535"/>
    <x v="151"/>
    <d v="1966-03-12T00:00:00"/>
    <d v="2026-02-03T00:00:00"/>
  </r>
  <r>
    <n v="167"/>
    <x v="0"/>
    <x v="155"/>
    <x v="5"/>
    <s v="Guangzhou"/>
    <s v="E-commerce"/>
    <s v="Fashion &amp; Retail"/>
    <x v="1"/>
    <x v="0"/>
    <x v="100"/>
    <x v="133"/>
    <x v="120"/>
    <n v="1984"/>
    <n v="1"/>
    <n v="1"/>
    <n v="125.08"/>
    <n v="19910000000000"/>
    <n v="77"/>
    <n v="9.4"/>
    <n v="59.2"/>
    <n v="1397715000"/>
    <x v="25"/>
    <d v="1984-01-01T00:00:00"/>
    <d v="2026-02-03T00:00:00"/>
  </r>
  <r>
    <n v="167"/>
    <x v="3"/>
    <x v="156"/>
    <x v="15"/>
    <s v="Dubai"/>
    <s v="Cryptocurrency exchange"/>
    <s v="Finance &amp; Investments"/>
    <x v="1"/>
    <x v="0"/>
    <x v="140"/>
    <x v="134"/>
    <x v="120"/>
    <n v="1977"/>
    <n v="9"/>
    <n v="10"/>
    <n v="114.52"/>
    <n v="421142267938"/>
    <n v="77.8"/>
    <n v="0.1"/>
    <n v="15.9"/>
    <n v="9770529"/>
    <x v="152"/>
    <d v="1977-09-10T00:00:00"/>
    <d v="2026-02-03T00:00:00"/>
  </r>
  <r>
    <n v="170"/>
    <x v="3"/>
    <x v="157"/>
    <x v="1"/>
    <s v="Dallas"/>
    <s v="Banks, real estate"/>
    <s v="Finance &amp; Investments"/>
    <x v="1"/>
    <x v="0"/>
    <x v="141"/>
    <x v="71"/>
    <x v="121"/>
    <n v="1952"/>
    <n v="11"/>
    <n v="29"/>
    <n v="117.24"/>
    <n v="21427700000000"/>
    <n v="78.5"/>
    <n v="9.6"/>
    <n v="36.6"/>
    <n v="328239523"/>
    <x v="153"/>
    <d v="1952-11-29T00:00:00"/>
    <d v="2026-02-03T00:00:00"/>
  </r>
  <r>
    <n v="171"/>
    <x v="2"/>
    <x v="158"/>
    <x v="13"/>
    <s v="Sydney"/>
    <s v="Software"/>
    <s v="Technology"/>
    <x v="1"/>
    <x v="0"/>
    <x v="142"/>
    <x v="135"/>
    <x v="122"/>
    <n v="1979"/>
    <n v="11"/>
    <n v="17"/>
    <n v="119.8"/>
    <n v="1392680589329"/>
    <n v="82.7"/>
    <n v="23"/>
    <n v="47.4"/>
    <n v="25766605"/>
    <x v="154"/>
    <d v="1979-11-17T00:00:00"/>
    <d v="2026-02-03T00:00:00"/>
  </r>
  <r>
    <n v="171"/>
    <x v="13"/>
    <x v="159"/>
    <x v="1"/>
    <s v="Bloomington"/>
    <s v="Medical devices"/>
    <s v="Healthcare"/>
    <x v="0"/>
    <x v="0"/>
    <x v="143"/>
    <x v="81"/>
    <x v="122"/>
    <n v="1962"/>
    <n v="8"/>
    <n v="19"/>
    <n v="117.24"/>
    <n v="21427700000000"/>
    <n v="78.5"/>
    <n v="9.6"/>
    <n v="36.6"/>
    <n v="328239523"/>
    <x v="155"/>
    <d v="1962-08-19T00:00:00"/>
    <d v="2026-02-03T00:00:00"/>
  </r>
  <r>
    <n v="171"/>
    <x v="2"/>
    <x v="160"/>
    <x v="1"/>
    <s v="Incline Village"/>
    <s v="Business software"/>
    <s v="Technology"/>
    <x v="1"/>
    <x v="0"/>
    <x v="144"/>
    <x v="20"/>
    <x v="122"/>
    <n v="1940"/>
    <n v="9"/>
    <n v="21"/>
    <n v="117.24"/>
    <n v="21427700000000"/>
    <n v="78.5"/>
    <n v="9.6"/>
    <n v="36.6"/>
    <n v="328239523"/>
    <x v="156"/>
    <d v="1940-09-21T00:00:00"/>
    <d v="2026-02-03T00:00:00"/>
  </r>
  <r>
    <n v="171"/>
    <x v="12"/>
    <x v="161"/>
    <x v="1"/>
    <s v="Houston"/>
    <s v="Oil"/>
    <s v="Energy"/>
    <x v="1"/>
    <x v="0"/>
    <x v="145"/>
    <x v="136"/>
    <x v="122"/>
    <n v="1959"/>
    <n v="3"/>
    <n v="5"/>
    <n v="117.24"/>
    <n v="21427700000000"/>
    <n v="78.5"/>
    <n v="9.6"/>
    <n v="36.6"/>
    <n v="328239523"/>
    <x v="157"/>
    <d v="1959-03-05T00:00:00"/>
    <d v="2026-02-03T00:00:00"/>
  </r>
  <r>
    <n v="171"/>
    <x v="10"/>
    <x v="162"/>
    <x v="16"/>
    <s v="Magnitogorsk"/>
    <s v="Steel"/>
    <s v="Manufacturing"/>
    <x v="1"/>
    <x v="0"/>
    <x v="146"/>
    <x v="137"/>
    <x v="122"/>
    <n v="1948"/>
    <n v="10"/>
    <n v="13"/>
    <n v="180.75"/>
    <n v="1699876578871"/>
    <n v="72.7"/>
    <n v="11.4"/>
    <n v="46.2"/>
    <n v="144373535"/>
    <x v="158"/>
    <d v="1948-10-13T00:00:00"/>
    <d v="2026-02-03T00:00:00"/>
  </r>
  <r>
    <n v="171"/>
    <x v="2"/>
    <x v="163"/>
    <x v="21"/>
    <s v="Singapore"/>
    <s v="Facebook"/>
    <s v="Technology"/>
    <x v="1"/>
    <x v="0"/>
    <x v="147"/>
    <x v="138"/>
    <x v="122"/>
    <n v="1982"/>
    <n v="3"/>
    <n v="19"/>
    <n v="114.41"/>
    <n v="372062527489"/>
    <n v="83.1"/>
    <n v="13.1"/>
    <n v="21"/>
    <n v="5703569"/>
    <x v="159"/>
    <d v="1982-03-19T00:00:00"/>
    <d v="2026-02-03T00:00:00"/>
  </r>
  <r>
    <n v="171"/>
    <x v="1"/>
    <x v="164"/>
    <x v="7"/>
    <s v="Herzogenaurach"/>
    <s v="Auto parts"/>
    <s v="Automotive"/>
    <x v="0"/>
    <x v="0"/>
    <x v="148"/>
    <x v="139"/>
    <x v="122"/>
    <n v="1964"/>
    <n v="10"/>
    <n v="19"/>
    <n v="112.85"/>
    <n v="3845630030824"/>
    <n v="80.900000000000006"/>
    <n v="11.5"/>
    <n v="48.8"/>
    <n v="83132799"/>
    <x v="160"/>
    <d v="1964-10-19T00:00:00"/>
    <d v="2026-02-03T00:00:00"/>
  </r>
  <r>
    <n v="171"/>
    <x v="0"/>
    <x v="165"/>
    <x v="1"/>
    <s v="Jackson"/>
    <s v="Walmart"/>
    <s v="Fashion &amp; Retail"/>
    <x v="0"/>
    <x v="1"/>
    <x v="17"/>
    <x v="140"/>
    <x v="122"/>
    <n v="1949"/>
    <n v="2"/>
    <n v="8"/>
    <n v="117.24"/>
    <n v="21427700000000"/>
    <n v="78.5"/>
    <n v="9.6"/>
    <n v="36.6"/>
    <n v="328239523"/>
    <x v="161"/>
    <d v="1949-02-08T00:00:00"/>
    <d v="2026-02-03T00:00:00"/>
  </r>
  <r>
    <n v="179"/>
    <x v="2"/>
    <x v="166"/>
    <x v="13"/>
    <s v="Sydney"/>
    <s v="Software"/>
    <s v="Technology"/>
    <x v="1"/>
    <x v="0"/>
    <x v="149"/>
    <x v="141"/>
    <x v="123"/>
    <n v="1979"/>
    <n v="12"/>
    <n v="17"/>
    <n v="119.8"/>
    <n v="1392680589329"/>
    <n v="82.7"/>
    <n v="23"/>
    <n v="47.4"/>
    <n v="25766605"/>
    <x v="162"/>
    <d v="1979-12-17T00:00:00"/>
    <d v="2026-02-03T00:00:00"/>
  </r>
  <r>
    <n v="179"/>
    <x v="6"/>
    <x v="167"/>
    <x v="27"/>
    <s v="Kuala Lumpur"/>
    <s v="Banking, property"/>
    <s v="Diversified"/>
    <x v="0"/>
    <x v="0"/>
    <x v="150"/>
    <x v="142"/>
    <x v="123"/>
    <n v="1941"/>
    <n v="8"/>
    <n v="12"/>
    <n v="121.46"/>
    <n v="364701517788"/>
    <n v="76"/>
    <n v="12"/>
    <n v="38.700000000000003"/>
    <n v="32447385"/>
    <x v="163"/>
    <d v="1941-08-12T00:00:00"/>
    <d v="2026-02-03T00:00:00"/>
  </r>
  <r>
    <n v="179"/>
    <x v="15"/>
    <x v="168"/>
    <x v="5"/>
    <s v="Beijing"/>
    <s v="Real estate"/>
    <s v="Real Estate"/>
    <x v="1"/>
    <x v="1"/>
    <x v="151"/>
    <x v="143"/>
    <x v="123"/>
    <n v="1964"/>
    <n v="1"/>
    <n v="1"/>
    <n v="125.08"/>
    <n v="19910000000000"/>
    <n v="77"/>
    <n v="9.4"/>
    <n v="59.2"/>
    <n v="1397715000"/>
    <x v="136"/>
    <d v="1964-01-01T00:00:00"/>
    <d v="2026-02-03T00:00:00"/>
  </r>
  <r>
    <n v="182"/>
    <x v="12"/>
    <x v="169"/>
    <x v="1"/>
    <s v="Midland"/>
    <s v="Oil"/>
    <s v="Energy"/>
    <x v="1"/>
    <x v="0"/>
    <x v="152"/>
    <x v="144"/>
    <x v="124"/>
    <n v="1938"/>
    <n v="3"/>
    <n v="8"/>
    <n v="117.24"/>
    <n v="21427700000000"/>
    <n v="78.5"/>
    <n v="9.6"/>
    <n v="36.6"/>
    <n v="328239523"/>
    <x v="164"/>
    <d v="1938-03-08T00:00:00"/>
    <d v="2026-02-03T00:00:00"/>
  </r>
  <r>
    <n v="183"/>
    <x v="14"/>
    <x v="170"/>
    <x v="5"/>
    <s v="Shanghai"/>
    <s v="Diversified"/>
    <s v="Service"/>
    <x v="1"/>
    <x v="0"/>
    <x v="125"/>
    <x v="145"/>
    <x v="125"/>
    <n v="1948"/>
    <n v="6"/>
    <n v="1"/>
    <n v="125.08"/>
    <n v="19910000000000"/>
    <n v="77"/>
    <n v="9.4"/>
    <n v="59.2"/>
    <n v="1397715000"/>
    <x v="165"/>
    <d v="1948-06-01T00:00:00"/>
    <d v="2026-02-03T00:00:00"/>
  </r>
  <r>
    <n v="184"/>
    <x v="6"/>
    <x v="171"/>
    <x v="15"/>
    <s v="Dubai"/>
    <s v="Infrastructure, commodities"/>
    <s v="Diversified"/>
    <x v="1"/>
    <x v="0"/>
    <x v="20"/>
    <x v="146"/>
    <x v="126"/>
    <n v="1949"/>
    <n v="1"/>
    <n v="10"/>
    <n v="114.52"/>
    <n v="421142267938"/>
    <n v="77.8"/>
    <n v="0.1"/>
    <n v="15.9"/>
    <n v="9770529"/>
    <x v="166"/>
    <d v="1949-01-10T00:00:00"/>
    <d v="2026-02-03T00:00:00"/>
  </r>
  <r>
    <n v="184"/>
    <x v="0"/>
    <x v="172"/>
    <x v="8"/>
    <s v="Martigny"/>
    <s v="Hermes"/>
    <s v="Fashion &amp; Retail"/>
    <x v="0"/>
    <x v="0"/>
    <x v="153"/>
    <x v="147"/>
    <x v="126"/>
    <n v="1943"/>
    <n v="1"/>
    <n v="29"/>
    <n v="99.55"/>
    <n v="703082435360"/>
    <n v="83.6"/>
    <n v="10.1"/>
    <n v="28.8"/>
    <n v="8574832"/>
    <x v="167"/>
    <d v="1943-01-29T00:00:00"/>
    <d v="2026-02-03T00:00:00"/>
  </r>
  <r>
    <n v="184"/>
    <x v="8"/>
    <x v="173"/>
    <x v="0"/>
    <s v="Marseille"/>
    <s v="Shipping"/>
    <s v="Logistics"/>
    <x v="0"/>
    <x v="0"/>
    <x v="154"/>
    <x v="148"/>
    <x v="126"/>
    <n v="1971"/>
    <n v="8"/>
    <n v="10"/>
    <n v="110.05"/>
    <n v="2715518274227"/>
    <n v="82.5"/>
    <n v="24.2"/>
    <n v="60.7"/>
    <n v="67059887"/>
    <x v="168"/>
    <d v="1971-08-10T00:00:00"/>
    <d v="2026-02-03T00:00:00"/>
  </r>
  <r>
    <n v="184"/>
    <x v="8"/>
    <x v="174"/>
    <x v="0"/>
    <s v="Marseille"/>
    <s v="Shipping"/>
    <s v="Logistics"/>
    <x v="0"/>
    <x v="0"/>
    <x v="154"/>
    <x v="149"/>
    <x v="126"/>
    <n v="1970"/>
    <n v="3"/>
    <n v="3"/>
    <n v="110.05"/>
    <n v="2715518274227"/>
    <n v="82.5"/>
    <n v="24.2"/>
    <n v="60.7"/>
    <n v="67059887"/>
    <x v="169"/>
    <d v="1970-03-03T00:00:00"/>
    <d v="2026-02-03T00:00:00"/>
  </r>
  <r>
    <n v="184"/>
    <x v="8"/>
    <x v="175"/>
    <x v="0"/>
    <s v="Marseille"/>
    <s v="Shipping"/>
    <s v="Logistics"/>
    <x v="0"/>
    <x v="1"/>
    <x v="155"/>
    <x v="150"/>
    <x v="126"/>
    <n v="1968"/>
    <n v="2"/>
    <n v="1"/>
    <n v="110.05"/>
    <n v="2715518274227"/>
    <n v="82.5"/>
    <n v="24.2"/>
    <n v="60.7"/>
    <n v="67059887"/>
    <x v="170"/>
    <d v="1968-02-01T00:00:00"/>
    <d v="2026-02-03T00:00:00"/>
  </r>
  <r>
    <n v="184"/>
    <x v="3"/>
    <x v="176"/>
    <x v="19"/>
    <s v="Stockholm"/>
    <s v="Investments"/>
    <s v="Finance &amp; Investments"/>
    <x v="1"/>
    <x v="0"/>
    <x v="156"/>
    <x v="151"/>
    <x v="126"/>
    <n v="1947"/>
    <n v="5"/>
    <n v="15"/>
    <n v="110.51"/>
    <n v="530832908738"/>
    <n v="82.5"/>
    <n v="27.9"/>
    <n v="49.1"/>
    <n v="10285453"/>
    <x v="171"/>
    <d v="1947-05-15T00:00:00"/>
    <d v="2026-02-03T00:00:00"/>
  </r>
  <r>
    <n v="190"/>
    <x v="10"/>
    <x v="177"/>
    <x v="16"/>
    <s v="Moscow"/>
    <s v="Fertilizers"/>
    <s v="Manufacturing"/>
    <x v="1"/>
    <x v="0"/>
    <x v="157"/>
    <x v="152"/>
    <x v="127"/>
    <n v="1960"/>
    <n v="3"/>
    <n v="24"/>
    <n v="180.75"/>
    <n v="1699876578871"/>
    <n v="72.7"/>
    <n v="11.4"/>
    <n v="46.2"/>
    <n v="144373535"/>
    <x v="172"/>
    <d v="1960-03-24T00:00:00"/>
    <d v="2026-02-03T00:00:00"/>
  </r>
  <r>
    <n v="190"/>
    <x v="3"/>
    <x v="178"/>
    <x v="28"/>
    <s v="Seoul"/>
    <s v="Private equity"/>
    <s v="Finance &amp; Investments"/>
    <x v="1"/>
    <x v="0"/>
    <x v="158"/>
    <x v="6"/>
    <x v="127"/>
    <n v="1963"/>
    <n v="10"/>
    <n v="1"/>
    <n v="115.16"/>
    <n v="2029000000000"/>
    <n v="82.6"/>
    <n v="15.6"/>
    <n v="33.200000000000003"/>
    <n v="51709098"/>
    <x v="173"/>
    <d v="1963-10-01T00:00:00"/>
    <d v="2026-02-03T00:00:00"/>
  </r>
  <r>
    <n v="190"/>
    <x v="2"/>
    <x v="179"/>
    <x v="5"/>
    <s v="Beijing"/>
    <s v="Smartphones"/>
    <s v="Technology"/>
    <x v="1"/>
    <x v="0"/>
    <x v="159"/>
    <x v="153"/>
    <x v="127"/>
    <n v="1969"/>
    <n v="12"/>
    <n v="16"/>
    <n v="125.08"/>
    <n v="19910000000000"/>
    <n v="77"/>
    <n v="9.4"/>
    <n v="59.2"/>
    <n v="1397715000"/>
    <x v="174"/>
    <d v="1969-12-16T00:00:00"/>
    <d v="2026-02-03T00:00:00"/>
  </r>
  <r>
    <n v="190"/>
    <x v="10"/>
    <x v="180"/>
    <x v="7"/>
    <s v="Haiger"/>
    <s v="Manufacturing"/>
    <s v="Manufacturing"/>
    <x v="0"/>
    <x v="0"/>
    <x v="160"/>
    <x v="154"/>
    <x v="127"/>
    <n v="1946"/>
    <n v="8"/>
    <n v="15"/>
    <n v="112.85"/>
    <n v="3845630030824"/>
    <n v="80.900000000000006"/>
    <n v="11.5"/>
    <n v="48.8"/>
    <n v="83132799"/>
    <x v="175"/>
    <d v="1946-08-15T00:00:00"/>
    <d v="2026-02-03T00:00:00"/>
  </r>
  <r>
    <n v="190"/>
    <x v="13"/>
    <x v="181"/>
    <x v="5"/>
    <s v="Lianyungang"/>
    <s v="Pharmaceuticals"/>
    <s v="Healthcare"/>
    <x v="1"/>
    <x v="0"/>
    <x v="161"/>
    <x v="155"/>
    <x v="127"/>
    <n v="1958"/>
    <n v="9"/>
    <n v="1"/>
    <n v="125.08"/>
    <n v="19910000000000"/>
    <n v="77"/>
    <n v="9.4"/>
    <n v="59.2"/>
    <n v="1397715000"/>
    <x v="176"/>
    <d v="1958-09-01T00:00:00"/>
    <d v="2026-02-03T00:00:00"/>
  </r>
  <r>
    <n v="195"/>
    <x v="2"/>
    <x v="182"/>
    <x v="1"/>
    <s v="Keene"/>
    <s v="Warehouse automation"/>
    <s v="Technology"/>
    <x v="0"/>
    <x v="0"/>
    <x v="79"/>
    <x v="156"/>
    <x v="128"/>
    <n v="1952"/>
    <n v="7"/>
    <n v="25"/>
    <n v="117.24"/>
    <n v="21427700000000"/>
    <n v="78.5"/>
    <n v="9.6"/>
    <n v="36.6"/>
    <n v="328239523"/>
    <x v="177"/>
    <d v="1952-07-25T00:00:00"/>
    <d v="2026-02-03T00:00:00"/>
  </r>
  <r>
    <n v="195"/>
    <x v="12"/>
    <x v="183"/>
    <x v="5"/>
    <s v="Xingtai"/>
    <s v="Solar panels"/>
    <s v="Energy"/>
    <x v="1"/>
    <x v="0"/>
    <x v="162"/>
    <x v="157"/>
    <x v="128"/>
    <n v="1952"/>
    <n v="9"/>
    <n v="1"/>
    <n v="125.08"/>
    <n v="19910000000000"/>
    <n v="77"/>
    <n v="9.4"/>
    <n v="59.2"/>
    <n v="1397715000"/>
    <x v="178"/>
    <d v="1952-09-01T00:00:00"/>
    <d v="2026-02-03T00:00:00"/>
  </r>
  <r>
    <n v="195"/>
    <x v="10"/>
    <x v="184"/>
    <x v="5"/>
    <s v="Ningbo"/>
    <s v="Chemicals"/>
    <s v="Manufacturing"/>
    <x v="1"/>
    <x v="0"/>
    <x v="163"/>
    <x v="158"/>
    <x v="128"/>
    <n v="1956"/>
    <n v="3"/>
    <n v="1"/>
    <n v="125.08"/>
    <n v="19910000000000"/>
    <n v="77"/>
    <n v="9.4"/>
    <n v="59.2"/>
    <n v="1397715000"/>
    <x v="179"/>
    <d v="1956-03-01T00:00:00"/>
    <d v="2026-02-03T00:00:00"/>
  </r>
  <r>
    <n v="195"/>
    <x v="7"/>
    <x v="185"/>
    <x v="1"/>
    <s v="Los Angeles"/>
    <s v="Candy, pet food"/>
    <s v="Food &amp; Beverage"/>
    <x v="0"/>
    <x v="1"/>
    <x v="27"/>
    <x v="159"/>
    <x v="128"/>
    <n v="1964"/>
    <n v="7"/>
    <n v="28"/>
    <n v="117.24"/>
    <n v="21427700000000"/>
    <n v="78.5"/>
    <n v="9.6"/>
    <n v="36.6"/>
    <n v="328239523"/>
    <x v="180"/>
    <d v="1964-07-28T00:00:00"/>
    <d v="2026-02-03T00:00:00"/>
  </r>
  <r>
    <n v="195"/>
    <x v="7"/>
    <x v="186"/>
    <x v="1"/>
    <s v="Alexandria"/>
    <s v="Candy, pet food"/>
    <s v="Food &amp; Beverage"/>
    <x v="0"/>
    <x v="1"/>
    <x v="27"/>
    <x v="160"/>
    <x v="128"/>
    <n v="1960"/>
    <n v="8"/>
    <n v="1"/>
    <n v="117.24"/>
    <n v="21427700000000"/>
    <n v="78.5"/>
    <n v="9.6"/>
    <n v="36.6"/>
    <n v="328239523"/>
    <x v="181"/>
    <d v="1960-08-01T00:00:00"/>
    <d v="2026-02-03T00:00:00"/>
  </r>
  <r>
    <n v="195"/>
    <x v="7"/>
    <x v="187"/>
    <x v="1"/>
    <s v="New York"/>
    <s v="Candy, pet food"/>
    <s v="Food &amp; Beverage"/>
    <x v="0"/>
    <x v="1"/>
    <x v="27"/>
    <x v="161"/>
    <x v="128"/>
    <n v="1959"/>
    <n v="1"/>
    <n v="26"/>
    <n v="117.24"/>
    <n v="21427700000000"/>
    <n v="78.5"/>
    <n v="9.6"/>
    <n v="36.6"/>
    <n v="328239523"/>
    <x v="182"/>
    <d v="1959-01-26T00:00:00"/>
    <d v="2026-02-03T00:00:00"/>
  </r>
  <r>
    <n v="195"/>
    <x v="7"/>
    <x v="188"/>
    <x v="1"/>
    <s v="Philadelphia"/>
    <s v="Candy, pet food"/>
    <s v="Food &amp; Beverage"/>
    <x v="0"/>
    <x v="1"/>
    <x v="27"/>
    <x v="162"/>
    <x v="128"/>
    <n v="1956"/>
    <n v="12"/>
    <n v="15"/>
    <n v="117.24"/>
    <n v="21427700000000"/>
    <n v="78.5"/>
    <n v="9.6"/>
    <n v="36.6"/>
    <n v="328239523"/>
    <x v="183"/>
    <d v="1956-12-15T00:00:00"/>
    <d v="2026-02-03T00:00:00"/>
  </r>
  <r>
    <n v="202"/>
    <x v="3"/>
    <x v="189"/>
    <x v="0"/>
    <s v="Paris"/>
    <s v="Investments"/>
    <s v="Finance &amp; Investments"/>
    <x v="0"/>
    <x v="0"/>
    <x v="164"/>
    <x v="163"/>
    <x v="129"/>
    <n v="1952"/>
    <n v="4"/>
    <n v="1"/>
    <n v="110.05"/>
    <n v="2715518274227"/>
    <n v="82.5"/>
    <n v="24.2"/>
    <n v="60.7"/>
    <n v="67059887"/>
    <x v="184"/>
    <d v="1952-04-01T00:00:00"/>
    <d v="2026-02-03T00:00:00"/>
  </r>
  <r>
    <n v="202"/>
    <x v="6"/>
    <x v="190"/>
    <x v="6"/>
    <s v="Vancouver"/>
    <s v="Diversified"/>
    <s v="Diversified"/>
    <x v="1"/>
    <x v="0"/>
    <x v="165"/>
    <x v="17"/>
    <x v="129"/>
    <n v="1928"/>
    <n v="10"/>
    <n v="1"/>
    <n v="116.76"/>
    <n v="1736425629520"/>
    <n v="81.900000000000006"/>
    <n v="12.8"/>
    <n v="24.5"/>
    <n v="36991981"/>
    <x v="185"/>
    <d v="1928-10-01T00:00:00"/>
    <d v="2026-02-03T00:00:00"/>
  </r>
  <r>
    <n v="204"/>
    <x v="13"/>
    <x v="191"/>
    <x v="8"/>
    <s v="Gstaad"/>
    <s v="Biotech, investments"/>
    <s v="Healthcare"/>
    <x v="0"/>
    <x v="0"/>
    <x v="166"/>
    <x v="164"/>
    <x v="130"/>
    <n v="1965"/>
    <n v="9"/>
    <n v="22"/>
    <n v="99.55"/>
    <n v="703082435360"/>
    <n v="83.6"/>
    <n v="10.1"/>
    <n v="28.8"/>
    <n v="8574832"/>
    <x v="186"/>
    <d v="1965-09-22T00:00:00"/>
    <d v="2026-02-03T00:00:00"/>
  </r>
  <r>
    <n v="204"/>
    <x v="2"/>
    <x v="192"/>
    <x v="5"/>
    <s v="Beijing"/>
    <s v="Food delivery"/>
    <s v="Technology"/>
    <x v="1"/>
    <x v="0"/>
    <x v="64"/>
    <x v="165"/>
    <x v="130"/>
    <n v="1979"/>
    <n v="2"/>
    <n v="18"/>
    <n v="125.08"/>
    <n v="19910000000000"/>
    <n v="77"/>
    <n v="9.4"/>
    <n v="59.2"/>
    <n v="1397715000"/>
    <x v="187"/>
    <d v="1979-02-18T00:00:00"/>
    <d v="2026-02-03T00:00:00"/>
  </r>
  <r>
    <n v="206"/>
    <x v="2"/>
    <x v="193"/>
    <x v="1"/>
    <s v="San Francisco"/>
    <s v="Airbnb"/>
    <s v="Technology"/>
    <x v="1"/>
    <x v="0"/>
    <x v="167"/>
    <x v="166"/>
    <x v="131"/>
    <n v="1981"/>
    <n v="8"/>
    <n v="29"/>
    <n v="117.24"/>
    <n v="21427700000000"/>
    <n v="78.5"/>
    <n v="9.6"/>
    <n v="36.6"/>
    <n v="328239523"/>
    <x v="188"/>
    <d v="1981-08-29T00:00:00"/>
    <d v="2026-02-03T00:00:00"/>
  </r>
  <r>
    <n v="206"/>
    <x v="10"/>
    <x v="194"/>
    <x v="12"/>
    <s v="Gloucestershire"/>
    <s v="Vacuums"/>
    <s v="Manufacturing"/>
    <x v="1"/>
    <x v="0"/>
    <x v="168"/>
    <x v="58"/>
    <x v="131"/>
    <n v="1947"/>
    <n v="5"/>
    <n v="2"/>
    <n v="119.62"/>
    <n v="2827113184696"/>
    <n v="81.3"/>
    <n v="25.5"/>
    <n v="30.6"/>
    <n v="66834405"/>
    <x v="189"/>
    <d v="1947-05-02T00:00:00"/>
    <d v="2026-02-03T00:00:00"/>
  </r>
  <r>
    <n v="208"/>
    <x v="6"/>
    <x v="195"/>
    <x v="16"/>
    <s v="Moscow"/>
    <s v="Steel, investments"/>
    <s v="Diversified"/>
    <x v="1"/>
    <x v="0"/>
    <x v="169"/>
    <x v="167"/>
    <x v="132"/>
    <n v="1966"/>
    <n v="10"/>
    <n v="24"/>
    <n v="180.75"/>
    <n v="1699876578871"/>
    <n v="72.7"/>
    <n v="11.4"/>
    <n v="46.2"/>
    <n v="144373535"/>
    <x v="190"/>
    <d v="1966-10-24T00:00:00"/>
    <d v="2026-02-03T00:00:00"/>
  </r>
  <r>
    <n v="208"/>
    <x v="6"/>
    <x v="196"/>
    <x v="19"/>
    <s v="Stockholm"/>
    <s v="Diversified"/>
    <s v="Diversified"/>
    <x v="0"/>
    <x v="1"/>
    <x v="170"/>
    <x v="168"/>
    <x v="132"/>
    <n v="1943"/>
    <n v="9"/>
    <n v="6"/>
    <n v="110.51"/>
    <n v="530832908738"/>
    <n v="82.5"/>
    <n v="27.9"/>
    <n v="49.1"/>
    <n v="10285453"/>
    <x v="191"/>
    <d v="1943-09-06T00:00:00"/>
    <d v="2026-02-03T00:00:00"/>
  </r>
  <r>
    <n v="208"/>
    <x v="12"/>
    <x v="197"/>
    <x v="18"/>
    <s v="Prague"/>
    <s v="Energy, investments"/>
    <s v="Energy"/>
    <x v="1"/>
    <x v="0"/>
    <x v="171"/>
    <x v="79"/>
    <x v="132"/>
    <n v="1975"/>
    <n v="7"/>
    <n v="9"/>
    <n v="116.48"/>
    <n v="246489245495"/>
    <n v="79"/>
    <n v="14.9"/>
    <n v="46.1"/>
    <n v="10669709"/>
    <x v="192"/>
    <d v="1975-07-09T00:00:00"/>
    <d v="2026-02-03T00:00:00"/>
  </r>
  <r>
    <n v="208"/>
    <x v="4"/>
    <x v="198"/>
    <x v="1"/>
    <s v="Elizabeth"/>
    <s v="Cable television"/>
    <s v="Media &amp; Entertainment"/>
    <x v="1"/>
    <x v="0"/>
    <x v="172"/>
    <x v="29"/>
    <x v="132"/>
    <n v="1941"/>
    <n v="3"/>
    <n v="7"/>
    <n v="117.24"/>
    <n v="21427700000000"/>
    <n v="78.5"/>
    <n v="9.6"/>
    <n v="36.6"/>
    <n v="328239523"/>
    <x v="193"/>
    <d v="1941-03-07T00:00:00"/>
    <d v="2026-02-03T00:00:00"/>
  </r>
  <r>
    <n v="208"/>
    <x v="2"/>
    <x v="199"/>
    <x v="3"/>
    <s v="Bangalore"/>
    <s v="Software services"/>
    <s v="Technology"/>
    <x v="0"/>
    <x v="0"/>
    <x v="173"/>
    <x v="169"/>
    <x v="132"/>
    <n v="1945"/>
    <n v="7"/>
    <n v="24"/>
    <n v="180.44"/>
    <n v="2611000000000"/>
    <n v="69.400000000000006"/>
    <n v="11.2"/>
    <n v="49.7"/>
    <n v="1366417754"/>
    <x v="194"/>
    <d v="1945-07-24T00:00:00"/>
    <d v="2026-02-03T00:00:00"/>
  </r>
  <r>
    <n v="208"/>
    <x v="3"/>
    <x v="200"/>
    <x v="1"/>
    <s v="Woodside"/>
    <s v="Discount brokerage"/>
    <s v="Finance &amp; Investments"/>
    <x v="1"/>
    <x v="0"/>
    <x v="174"/>
    <x v="15"/>
    <x v="132"/>
    <n v="1937"/>
    <n v="7"/>
    <n v="29"/>
    <n v="117.24"/>
    <n v="21427700000000"/>
    <n v="78.5"/>
    <n v="9.6"/>
    <n v="36.6"/>
    <n v="328239523"/>
    <x v="195"/>
    <d v="1937-07-29T00:00:00"/>
    <d v="2026-02-03T00:00:00"/>
  </r>
  <r>
    <n v="208"/>
    <x v="0"/>
    <x v="201"/>
    <x v="1"/>
    <s v="Beverly Hills"/>
    <s v="Hardware stores"/>
    <s v="Fashion &amp; Retail"/>
    <x v="1"/>
    <x v="0"/>
    <x v="175"/>
    <x v="73"/>
    <x v="132"/>
    <n v="1960"/>
    <n v="1"/>
    <n v="1"/>
    <n v="117.24"/>
    <n v="21427700000000"/>
    <n v="78.5"/>
    <n v="9.6"/>
    <n v="36.6"/>
    <n v="328239523"/>
    <x v="196"/>
    <d v="1960-01-01T00:00:00"/>
    <d v="2026-02-03T00:00:00"/>
  </r>
  <r>
    <n v="215"/>
    <x v="2"/>
    <x v="202"/>
    <x v="1"/>
    <s v="Palo Alto"/>
    <s v="Google"/>
    <s v="Technology"/>
    <x v="1"/>
    <x v="0"/>
    <x v="176"/>
    <x v="20"/>
    <x v="133"/>
    <n v="1951"/>
    <n v="3"/>
    <n v="29"/>
    <n v="117.24"/>
    <n v="21427700000000"/>
    <n v="78.5"/>
    <n v="9.6"/>
    <n v="36.6"/>
    <n v="328239523"/>
    <x v="197"/>
    <d v="1951-03-29T00:00:00"/>
    <d v="2026-02-03T00:00:00"/>
  </r>
  <r>
    <n v="215"/>
    <x v="11"/>
    <x v="203"/>
    <x v="8"/>
    <s v="Ruschlikon"/>
    <s v="Mining"/>
    <s v="Metals &amp; Mining"/>
    <x v="1"/>
    <x v="0"/>
    <x v="177"/>
    <x v="170"/>
    <x v="133"/>
    <n v="1957"/>
    <n v="1"/>
    <n v="7"/>
    <n v="99.55"/>
    <n v="703082435360"/>
    <n v="83.6"/>
    <n v="10.1"/>
    <n v="28.8"/>
    <n v="8574832"/>
    <x v="198"/>
    <d v="1957-01-07T00:00:00"/>
    <d v="2026-02-03T00:00:00"/>
  </r>
  <r>
    <n v="215"/>
    <x v="15"/>
    <x v="204"/>
    <x v="7"/>
    <s v="Hamburg"/>
    <s v="Real estate"/>
    <s v="Real Estate"/>
    <x v="0"/>
    <x v="0"/>
    <x v="178"/>
    <x v="171"/>
    <x v="133"/>
    <n v="1967"/>
    <n v="7"/>
    <n v="7"/>
    <n v="112.85"/>
    <n v="3845630030824"/>
    <n v="80.900000000000006"/>
    <n v="11.5"/>
    <n v="48.8"/>
    <n v="83132799"/>
    <x v="199"/>
    <d v="1967-07-07T00:00:00"/>
    <d v="2026-02-03T00:00:00"/>
  </r>
  <r>
    <n v="215"/>
    <x v="7"/>
    <x v="205"/>
    <x v="6"/>
    <s v="Vancouver"/>
    <s v="Alcoholic beverages"/>
    <s v="Food &amp; Beverage"/>
    <x v="1"/>
    <x v="0"/>
    <x v="179"/>
    <x v="124"/>
    <x v="133"/>
    <n v="1950"/>
    <n v="3"/>
    <n v="10"/>
    <n v="116.76"/>
    <n v="1736425629520"/>
    <n v="81.900000000000006"/>
    <n v="12.8"/>
    <n v="24.5"/>
    <n v="36991981"/>
    <x v="200"/>
    <d v="1950-03-10T00:00:00"/>
    <d v="2026-02-03T00:00:00"/>
  </r>
  <r>
    <n v="215"/>
    <x v="10"/>
    <x v="206"/>
    <x v="5"/>
    <s v="Changzhou"/>
    <s v="Hydraulic machinery"/>
    <s v="Manufacturing"/>
    <x v="1"/>
    <x v="0"/>
    <x v="64"/>
    <x v="172"/>
    <x v="133"/>
    <n v="1966"/>
    <n v="2"/>
    <n v="24"/>
    <n v="125.08"/>
    <n v="19910000000000"/>
    <n v="77"/>
    <n v="9.4"/>
    <n v="59.2"/>
    <n v="1397715000"/>
    <x v="201"/>
    <d v="1966-02-24T00:00:00"/>
    <d v="2026-02-03T00:00:00"/>
  </r>
  <r>
    <n v="220"/>
    <x v="7"/>
    <x v="207"/>
    <x v="12"/>
    <s v="London"/>
    <s v="Packaging"/>
    <s v="Food &amp; Beverage"/>
    <x v="0"/>
    <x v="0"/>
    <x v="180"/>
    <x v="173"/>
    <x v="134"/>
    <n v="1955"/>
    <n v="1"/>
    <n v="1"/>
    <n v="119.62"/>
    <n v="2827113184696"/>
    <n v="81.3"/>
    <n v="25.5"/>
    <n v="30.6"/>
    <n v="66834405"/>
    <x v="105"/>
    <d v="1955-01-01T00:00:00"/>
    <d v="2026-02-03T00:00:00"/>
  </r>
  <r>
    <n v="220"/>
    <x v="7"/>
    <x v="208"/>
    <x v="12"/>
    <s v="Surrey"/>
    <s v="Packaging"/>
    <s v="Food &amp; Beverage"/>
    <x v="0"/>
    <x v="0"/>
    <x v="180"/>
    <x v="174"/>
    <x v="134"/>
    <n v="1960"/>
    <n v="1"/>
    <n v="1"/>
    <n v="119.62"/>
    <n v="2827113184696"/>
    <n v="81.3"/>
    <n v="25.5"/>
    <n v="30.6"/>
    <n v="66834405"/>
    <x v="196"/>
    <d v="1960-01-01T00:00:00"/>
    <d v="2026-02-03T00:00:00"/>
  </r>
  <r>
    <n v="220"/>
    <x v="7"/>
    <x v="209"/>
    <x v="12"/>
    <s v="Newmarket"/>
    <s v="Packaging"/>
    <s v="Food &amp; Beverage"/>
    <x v="0"/>
    <x v="1"/>
    <x v="180"/>
    <x v="175"/>
    <x v="134"/>
    <n v="1952"/>
    <n v="6"/>
    <n v="6"/>
    <n v="119.62"/>
    <n v="2827113184696"/>
    <n v="81.3"/>
    <n v="25.5"/>
    <n v="30.6"/>
    <n v="66834405"/>
    <x v="202"/>
    <d v="1952-06-06T00:00:00"/>
    <d v="2026-02-03T00:00:00"/>
  </r>
  <r>
    <n v="223"/>
    <x v="0"/>
    <x v="210"/>
    <x v="16"/>
    <s v="Moscow region"/>
    <s v="Ecommerce"/>
    <s v="Fashion &amp; Retail"/>
    <x v="1"/>
    <x v="1"/>
    <x v="181"/>
    <x v="176"/>
    <x v="135"/>
    <n v="1975"/>
    <n v="10"/>
    <n v="16"/>
    <n v="180.75"/>
    <n v="1699876578871"/>
    <n v="72.7"/>
    <n v="11.4"/>
    <n v="46.2"/>
    <n v="144373535"/>
    <x v="203"/>
    <d v="1975-10-16T00:00:00"/>
    <d v="2026-02-03T00:00:00"/>
  </r>
  <r>
    <n v="223"/>
    <x v="2"/>
    <x v="211"/>
    <x v="1"/>
    <s v="Woodside"/>
    <s v="Venture capital"/>
    <s v="Technology"/>
    <x v="1"/>
    <x v="0"/>
    <x v="182"/>
    <x v="29"/>
    <x v="135"/>
    <n v="1951"/>
    <n v="6"/>
    <n v="29"/>
    <n v="117.24"/>
    <n v="21427700000000"/>
    <n v="78.5"/>
    <n v="9.6"/>
    <n v="36.6"/>
    <n v="328239523"/>
    <x v="204"/>
    <d v="1951-06-29T00:00:00"/>
    <d v="2026-02-03T00:00:00"/>
  </r>
  <r>
    <n v="223"/>
    <x v="2"/>
    <x v="212"/>
    <x v="5"/>
    <s v="Beijing"/>
    <s v="E-commerce"/>
    <s v="Technology"/>
    <x v="1"/>
    <x v="0"/>
    <x v="125"/>
    <x v="177"/>
    <x v="135"/>
    <n v="1974"/>
    <n v="3"/>
    <n v="10"/>
    <n v="125.08"/>
    <n v="19910000000000"/>
    <n v="77"/>
    <n v="9.4"/>
    <n v="59.2"/>
    <n v="1397715000"/>
    <x v="205"/>
    <d v="1974-03-10T00:00:00"/>
    <d v="2026-02-03T00:00:00"/>
  </r>
  <r>
    <n v="223"/>
    <x v="2"/>
    <x v="213"/>
    <x v="1"/>
    <s v="San Francisco"/>
    <s v="Facebook"/>
    <s v="Technology"/>
    <x v="1"/>
    <x v="0"/>
    <x v="183"/>
    <x v="178"/>
    <x v="135"/>
    <n v="1984"/>
    <n v="5"/>
    <n v="22"/>
    <n v="117.24"/>
    <n v="21427700000000"/>
    <n v="78.5"/>
    <n v="9.6"/>
    <n v="36.6"/>
    <n v="328239523"/>
    <x v="206"/>
    <d v="1984-05-22T00:00:00"/>
    <d v="2026-02-03T00:00:00"/>
  </r>
  <r>
    <n v="223"/>
    <x v="2"/>
    <x v="214"/>
    <x v="1"/>
    <s v="Honolulu"/>
    <s v="EBay, PayPal"/>
    <s v="Technology"/>
    <x v="1"/>
    <x v="0"/>
    <x v="184"/>
    <x v="179"/>
    <x v="135"/>
    <n v="1967"/>
    <n v="6"/>
    <n v="21"/>
    <n v="117.24"/>
    <n v="21427700000000"/>
    <n v="78.5"/>
    <n v="9.6"/>
    <n v="36.6"/>
    <n v="328239523"/>
    <x v="207"/>
    <d v="1967-06-21T00:00:00"/>
    <d v="2026-02-03T00:00:00"/>
  </r>
  <r>
    <n v="223"/>
    <x v="12"/>
    <x v="215"/>
    <x v="5"/>
    <s v="Ningde"/>
    <s v="Batteries"/>
    <s v="Energy"/>
    <x v="1"/>
    <x v="0"/>
    <x v="185"/>
    <x v="180"/>
    <x v="135"/>
    <n v="1959"/>
    <n v="1"/>
    <n v="1"/>
    <n v="125.08"/>
    <n v="19910000000000"/>
    <n v="77"/>
    <n v="9.4"/>
    <n v="59.2"/>
    <n v="1397715000"/>
    <x v="208"/>
    <d v="1959-01-01T00:00:00"/>
    <d v="2026-02-03T00:00:00"/>
  </r>
  <r>
    <n v="223"/>
    <x v="12"/>
    <x v="216"/>
    <x v="12"/>
    <s v="London"/>
    <s v="Oil"/>
    <s v="Energy"/>
    <x v="0"/>
    <x v="1"/>
    <x v="186"/>
    <x v="181"/>
    <x v="135"/>
    <n v="1951"/>
    <n v="1"/>
    <n v="1"/>
    <n v="119.62"/>
    <n v="2827113184696"/>
    <n v="81.3"/>
    <n v="25.5"/>
    <n v="30.6"/>
    <n v="66834405"/>
    <x v="96"/>
    <d v="1951-01-01T00:00:00"/>
    <d v="2026-02-03T00:00:00"/>
  </r>
  <r>
    <n v="230"/>
    <x v="10"/>
    <x v="217"/>
    <x v="5"/>
    <s v="Wujiang"/>
    <s v="Chemicals"/>
    <s v="Manufacturing"/>
    <x v="1"/>
    <x v="0"/>
    <x v="106"/>
    <x v="182"/>
    <x v="136"/>
    <n v="1971"/>
    <n v="1"/>
    <n v="1"/>
    <n v="125.08"/>
    <n v="19910000000000"/>
    <n v="77"/>
    <n v="9.4"/>
    <n v="59.2"/>
    <n v="1397715000"/>
    <x v="209"/>
    <d v="1971-01-01T00:00:00"/>
    <d v="2026-02-03T00:00:00"/>
  </r>
  <r>
    <n v="230"/>
    <x v="0"/>
    <x v="218"/>
    <x v="7"/>
    <s v="Hamburg"/>
    <s v="Retail, real estate"/>
    <s v="Fashion &amp; Retail"/>
    <x v="0"/>
    <x v="0"/>
    <x v="178"/>
    <x v="6"/>
    <x v="136"/>
    <n v="1943"/>
    <n v="4"/>
    <n v="12"/>
    <n v="112.85"/>
    <n v="3845630030824"/>
    <n v="80.900000000000006"/>
    <n v="11.5"/>
    <n v="48.8"/>
    <n v="83132799"/>
    <x v="210"/>
    <d v="1943-04-12T00:00:00"/>
    <d v="2026-02-03T00:00:00"/>
  </r>
  <r>
    <n v="232"/>
    <x v="3"/>
    <x v="219"/>
    <x v="1"/>
    <s v="New York"/>
    <s v="Private equity"/>
    <s v="Finance &amp; Investments"/>
    <x v="1"/>
    <x v="0"/>
    <x v="187"/>
    <x v="183"/>
    <x v="137"/>
    <n v="1951"/>
    <n v="7"/>
    <n v="31"/>
    <n v="117.24"/>
    <n v="21427700000000"/>
    <n v="78.5"/>
    <n v="9.6"/>
    <n v="36.6"/>
    <n v="328239523"/>
    <x v="211"/>
    <d v="1951-07-31T00:00:00"/>
    <d v="2026-02-03T00:00:00"/>
  </r>
  <r>
    <n v="232"/>
    <x v="3"/>
    <x v="220"/>
    <x v="29"/>
    <s v="Auckland"/>
    <s v="Investments"/>
    <s v="Finance &amp; Investments"/>
    <x v="1"/>
    <x v="0"/>
    <x v="188"/>
    <x v="184"/>
    <x v="137"/>
    <n v="1955"/>
    <n v="6"/>
    <n v="6"/>
    <n v="114.24"/>
    <n v="206928765544"/>
    <n v="81.900000000000006"/>
    <n v="29"/>
    <n v="34.6"/>
    <n v="4841000"/>
    <x v="212"/>
    <d v="1955-06-06T00:00:00"/>
    <d v="2026-02-03T00:00:00"/>
  </r>
  <r>
    <n v="232"/>
    <x v="7"/>
    <x v="221"/>
    <x v="3"/>
    <s v="Delhi"/>
    <s v="Soft drinks, fast food"/>
    <s v="Food &amp; Beverage"/>
    <x v="0"/>
    <x v="0"/>
    <x v="189"/>
    <x v="185"/>
    <x v="137"/>
    <n v="1954"/>
    <n v="11"/>
    <n v="28"/>
    <n v="180.44"/>
    <n v="2611000000000"/>
    <n v="69.400000000000006"/>
    <n v="11.2"/>
    <n v="49.7"/>
    <n v="1366417754"/>
    <x v="213"/>
    <d v="1954-11-28T00:00:00"/>
    <d v="2026-02-03T00:00:00"/>
  </r>
  <r>
    <n v="232"/>
    <x v="2"/>
    <x v="222"/>
    <x v="7"/>
    <s v="Heidelberg"/>
    <s v="Software"/>
    <s v="Technology"/>
    <x v="1"/>
    <x v="0"/>
    <x v="190"/>
    <x v="186"/>
    <x v="137"/>
    <n v="1944"/>
    <n v="1"/>
    <n v="21"/>
    <n v="112.85"/>
    <n v="3845630030824"/>
    <n v="80.900000000000006"/>
    <n v="11.5"/>
    <n v="48.8"/>
    <n v="83132799"/>
    <x v="214"/>
    <d v="1944-01-21T00:00:00"/>
    <d v="2026-02-03T00:00:00"/>
  </r>
  <r>
    <n v="232"/>
    <x v="7"/>
    <x v="223"/>
    <x v="8"/>
    <s v="St. Gallen"/>
    <s v="Beer"/>
    <s v="Food &amp; Beverage"/>
    <x v="1"/>
    <x v="0"/>
    <x v="191"/>
    <x v="187"/>
    <x v="137"/>
    <n v="1948"/>
    <n v="1"/>
    <n v="1"/>
    <n v="99.55"/>
    <n v="703082435360"/>
    <n v="83.6"/>
    <n v="10.1"/>
    <n v="28.8"/>
    <n v="8574832"/>
    <x v="215"/>
    <d v="1948-01-01T00:00:00"/>
    <d v="2026-02-03T00:00:00"/>
  </r>
  <r>
    <n v="232"/>
    <x v="15"/>
    <x v="224"/>
    <x v="30"/>
    <s v="Manila"/>
    <s v="Real estate"/>
    <s v="Real Estate"/>
    <x v="1"/>
    <x v="0"/>
    <x v="192"/>
    <x v="188"/>
    <x v="137"/>
    <n v="1949"/>
    <n v="12"/>
    <n v="13"/>
    <n v="129.61000000000001"/>
    <n v="376795508680"/>
    <n v="71.099999999999994"/>
    <n v="14"/>
    <n v="43.1"/>
    <n v="108116615"/>
    <x v="216"/>
    <d v="1949-12-13T00:00:00"/>
    <d v="2026-02-03T00:00:00"/>
  </r>
  <r>
    <n v="232"/>
    <x v="2"/>
    <x v="225"/>
    <x v="1"/>
    <s v="Palo Alto"/>
    <s v="Google"/>
    <s v="Technology"/>
    <x v="1"/>
    <x v="0"/>
    <x v="193"/>
    <x v="120"/>
    <x v="137"/>
    <n v="1955"/>
    <n v="9"/>
    <n v="30"/>
    <n v="117.24"/>
    <n v="21427700000000"/>
    <n v="78.5"/>
    <n v="9.6"/>
    <n v="36.6"/>
    <n v="328239523"/>
    <x v="217"/>
    <d v="1955-09-30T00:00:00"/>
    <d v="2026-02-03T00:00:00"/>
  </r>
  <r>
    <n v="239"/>
    <x v="3"/>
    <x v="226"/>
    <x v="1"/>
    <s v="New York"/>
    <s v="Investments"/>
    <s v="Finance &amp; Investments"/>
    <x v="1"/>
    <x v="0"/>
    <x v="194"/>
    <x v="189"/>
    <x v="138"/>
    <n v="1975"/>
    <n v="6"/>
    <n v="21"/>
    <n v="117.24"/>
    <n v="21427700000000"/>
    <n v="78.5"/>
    <n v="9.6"/>
    <n v="36.6"/>
    <n v="328239523"/>
    <x v="218"/>
    <d v="1975-06-21T00:00:00"/>
    <d v="2026-02-03T00:00:00"/>
  </r>
  <r>
    <n v="239"/>
    <x v="0"/>
    <x v="227"/>
    <x v="1"/>
    <s v="Electra"/>
    <s v="Walmart"/>
    <s v="Fashion &amp; Retail"/>
    <x v="0"/>
    <x v="1"/>
    <x v="115"/>
    <x v="190"/>
    <x v="138"/>
    <n v="1948"/>
    <n v="12"/>
    <n v="18"/>
    <n v="117.24"/>
    <n v="21427700000000"/>
    <n v="78.5"/>
    <n v="9.6"/>
    <n v="36.6"/>
    <n v="328239523"/>
    <x v="219"/>
    <d v="1948-12-18T00:00:00"/>
    <d v="2026-02-03T00:00:00"/>
  </r>
  <r>
    <n v="239"/>
    <x v="10"/>
    <x v="228"/>
    <x v="5"/>
    <s v="Xi'an"/>
    <s v="Solar wafers and modules"/>
    <s v="Manufacturing"/>
    <x v="1"/>
    <x v="0"/>
    <x v="72"/>
    <x v="191"/>
    <x v="138"/>
    <n v="1968"/>
    <n v="1"/>
    <n v="1"/>
    <n v="125.08"/>
    <n v="19910000000000"/>
    <n v="77"/>
    <n v="9.4"/>
    <n v="59.2"/>
    <n v="1397715000"/>
    <x v="220"/>
    <d v="1968-01-01T00:00:00"/>
    <d v="2026-02-03T00:00:00"/>
  </r>
  <r>
    <n v="242"/>
    <x v="4"/>
    <x v="229"/>
    <x v="1"/>
    <s v="Atlanta"/>
    <s v="Media, automotive"/>
    <s v="Media &amp; Entertainment"/>
    <x v="0"/>
    <x v="0"/>
    <x v="195"/>
    <x v="17"/>
    <x v="139"/>
    <n v="1947"/>
    <n v="11"/>
    <n v="29"/>
    <n v="117.24"/>
    <n v="21427700000000"/>
    <n v="78.5"/>
    <n v="9.6"/>
    <n v="36.6"/>
    <n v="328239523"/>
    <x v="221"/>
    <d v="1947-11-29T00:00:00"/>
    <d v="2026-02-03T00:00:00"/>
  </r>
  <r>
    <n v="242"/>
    <x v="11"/>
    <x v="230"/>
    <x v="25"/>
    <s v="Johannesburg"/>
    <s v="Diamonds"/>
    <s v="Metals &amp; Mining"/>
    <x v="0"/>
    <x v="0"/>
    <x v="196"/>
    <x v="192"/>
    <x v="139"/>
    <n v="1945"/>
    <n v="6"/>
    <n v="8"/>
    <n v="158.93"/>
    <n v="351431649241"/>
    <n v="63.9"/>
    <n v="27.5"/>
    <n v="29.2"/>
    <n v="58558270"/>
    <x v="222"/>
    <d v="1945-06-08T00:00:00"/>
    <d v="2026-02-03T00:00:00"/>
  </r>
  <r>
    <n v="242"/>
    <x v="4"/>
    <x v="231"/>
    <x v="13"/>
    <s v="New South Wales"/>
    <s v="Media, automotive"/>
    <s v="Media &amp; Entertainment"/>
    <x v="0"/>
    <x v="1"/>
    <x v="197"/>
    <x v="193"/>
    <x v="139"/>
    <n v="1950"/>
    <n v="5"/>
    <n v="21"/>
    <n v="119.8"/>
    <n v="1392680589329"/>
    <n v="82.7"/>
    <n v="23"/>
    <n v="47.4"/>
    <n v="25766605"/>
    <x v="223"/>
    <d v="1950-05-21T00:00:00"/>
    <d v="2026-02-03T00:00:00"/>
  </r>
  <r>
    <n v="242"/>
    <x v="11"/>
    <x v="232"/>
    <x v="5"/>
    <s v="Binzhou"/>
    <s v="Aluminum products"/>
    <s v="Metals &amp; Mining"/>
    <x v="0"/>
    <x v="1"/>
    <x v="198"/>
    <x v="194"/>
    <x v="139"/>
    <n v="1946"/>
    <n v="1"/>
    <n v="1"/>
    <n v="125.08"/>
    <n v="19910000000000"/>
    <n v="77"/>
    <n v="9.4"/>
    <n v="59.2"/>
    <n v="1397715000"/>
    <x v="224"/>
    <d v="1946-01-01T00:00:00"/>
    <d v="2026-02-03T00:00:00"/>
  </r>
  <r>
    <n v="246"/>
    <x v="0"/>
    <x v="233"/>
    <x v="1"/>
    <s v="Springfield"/>
    <s v="Sporting goods retail"/>
    <s v="Fashion &amp; Retail"/>
    <x v="1"/>
    <x v="0"/>
    <x v="199"/>
    <x v="29"/>
    <x v="140"/>
    <n v="1948"/>
    <n v="3"/>
    <n v="19"/>
    <n v="117.24"/>
    <n v="21427700000000"/>
    <n v="78.5"/>
    <n v="9.6"/>
    <n v="36.6"/>
    <n v="328239523"/>
    <x v="225"/>
    <d v="1948-03-19T00:00:00"/>
    <d v="2026-02-03T00:00:00"/>
  </r>
  <r>
    <n v="249"/>
    <x v="12"/>
    <x v="234"/>
    <x v="16"/>
    <s v="Moscow"/>
    <s v="Oil, banking, telecom"/>
    <s v="Energy"/>
    <x v="1"/>
    <x v="0"/>
    <x v="120"/>
    <x v="195"/>
    <x v="141"/>
    <n v="1961"/>
    <n v="10"/>
    <n v="24"/>
    <n v="180.75"/>
    <n v="1699876578871"/>
    <n v="72.7"/>
    <n v="11.4"/>
    <n v="46.2"/>
    <n v="144373535"/>
    <x v="226"/>
    <d v="1961-10-24T00:00:00"/>
    <d v="2026-02-03T00:00:00"/>
  </r>
  <r>
    <n v="249"/>
    <x v="6"/>
    <x v="235"/>
    <x v="22"/>
    <s v="Lagos"/>
    <s v="Cement, sugar"/>
    <s v="Diversified"/>
    <x v="0"/>
    <x v="0"/>
    <x v="200"/>
    <x v="196"/>
    <x v="141"/>
    <n v="1960"/>
    <n v="8"/>
    <n v="4"/>
    <n v="267.51"/>
    <n v="448120428859"/>
    <n v="54.3"/>
    <n v="1.5"/>
    <n v="34.799999999999997"/>
    <n v="200963599"/>
    <x v="227"/>
    <d v="1960-08-04T00:00:00"/>
    <d v="2026-02-03T00:00:00"/>
  </r>
  <r>
    <n v="249"/>
    <x v="3"/>
    <x v="236"/>
    <x v="1"/>
    <s v="Atherton"/>
    <s v="Private equity"/>
    <s v="Finance &amp; Investments"/>
    <x v="1"/>
    <x v="0"/>
    <x v="201"/>
    <x v="108"/>
    <x v="141"/>
    <n v="1943"/>
    <n v="9"/>
    <n v="14"/>
    <n v="117.24"/>
    <n v="21427700000000"/>
    <n v="78.5"/>
    <n v="9.6"/>
    <n v="36.6"/>
    <n v="328239523"/>
    <x v="228"/>
    <d v="1943-09-14T00:00:00"/>
    <d v="2026-02-03T00:00:00"/>
  </r>
  <r>
    <n v="249"/>
    <x v="15"/>
    <x v="237"/>
    <x v="3"/>
    <s v="Delhi"/>
    <s v="Real estate"/>
    <s v="Real Estate"/>
    <x v="0"/>
    <x v="0"/>
    <x v="202"/>
    <x v="197"/>
    <x v="141"/>
    <n v="1931"/>
    <n v="8"/>
    <n v="15"/>
    <n v="180.44"/>
    <n v="2611000000000"/>
    <n v="69.400000000000006"/>
    <n v="11.2"/>
    <n v="49.7"/>
    <n v="1366417754"/>
    <x v="229"/>
    <d v="1931-08-15T00:00:00"/>
    <d v="2026-02-03T00:00:00"/>
  </r>
  <r>
    <n v="249"/>
    <x v="15"/>
    <x v="238"/>
    <x v="5"/>
    <s v="Beijing"/>
    <s v="Real estate"/>
    <s v="Real Estate"/>
    <x v="1"/>
    <x v="0"/>
    <x v="64"/>
    <x v="198"/>
    <x v="141"/>
    <n v="1954"/>
    <n v="10"/>
    <n v="1"/>
    <n v="125.08"/>
    <n v="19910000000000"/>
    <n v="77"/>
    <n v="9.4"/>
    <n v="59.2"/>
    <n v="1397715000"/>
    <x v="230"/>
    <d v="1954-10-01T00:00:00"/>
    <d v="2026-02-03T00:00:00"/>
  </r>
  <r>
    <n v="249"/>
    <x v="15"/>
    <x v="239"/>
    <x v="5"/>
    <s v="Foshan"/>
    <s v="Real estate"/>
    <s v="Real Estate"/>
    <x v="0"/>
    <x v="1"/>
    <x v="203"/>
    <x v="199"/>
    <x v="141"/>
    <n v="1981"/>
    <n v="9"/>
    <n v="27"/>
    <n v="125.08"/>
    <n v="19910000000000"/>
    <n v="77"/>
    <n v="9.4"/>
    <n v="59.2"/>
    <n v="1397715000"/>
    <x v="231"/>
    <d v="1981-09-27T00:00:00"/>
    <d v="2026-02-03T00:00:00"/>
  </r>
  <r>
    <n v="256"/>
    <x v="6"/>
    <x v="240"/>
    <x v="0"/>
    <s v="Paris"/>
    <s v="Diversified"/>
    <s v="Diversified"/>
    <x v="0"/>
    <x v="0"/>
    <x v="204"/>
    <x v="200"/>
    <x v="142"/>
    <n v="1953"/>
    <n v="7"/>
    <n v="7"/>
    <n v="110.05"/>
    <n v="2715518274227"/>
    <n v="82.5"/>
    <n v="24.2"/>
    <n v="60.7"/>
    <n v="67059887"/>
    <x v="232"/>
    <d v="1953-07-07T00:00:00"/>
    <d v="2026-02-03T00:00:00"/>
  </r>
  <r>
    <n v="256"/>
    <x v="6"/>
    <x v="241"/>
    <x v="0"/>
    <s v="Paris"/>
    <s v="Diversified"/>
    <s v="Diversified"/>
    <x v="0"/>
    <x v="0"/>
    <x v="204"/>
    <x v="201"/>
    <x v="142"/>
    <n v="1957"/>
    <n v="3"/>
    <n v="26"/>
    <n v="110.05"/>
    <n v="2715518274227"/>
    <n v="82.5"/>
    <n v="24.2"/>
    <n v="60.7"/>
    <n v="67059887"/>
    <x v="233"/>
    <d v="1957-03-26T00:00:00"/>
    <d v="2026-02-03T00:00:00"/>
  </r>
  <r>
    <n v="256"/>
    <x v="7"/>
    <x v="242"/>
    <x v="1"/>
    <s v="Houston"/>
    <s v="Houston Rockets, entertainment"/>
    <s v="Food &amp; Beverage"/>
    <x v="1"/>
    <x v="0"/>
    <x v="205"/>
    <x v="202"/>
    <x v="142"/>
    <n v="1957"/>
    <n v="6"/>
    <n v="25"/>
    <n v="117.24"/>
    <n v="21427700000000"/>
    <n v="78.5"/>
    <n v="9.6"/>
    <n v="36.6"/>
    <n v="328239523"/>
    <x v="234"/>
    <d v="1957-06-25T00:00:00"/>
    <d v="2026-02-03T00:00:00"/>
  </r>
  <r>
    <n v="256"/>
    <x v="6"/>
    <x v="243"/>
    <x v="0"/>
    <s v="Paris"/>
    <s v="Diversified"/>
    <s v="Diversified"/>
    <x v="0"/>
    <x v="1"/>
    <x v="206"/>
    <x v="203"/>
    <x v="142"/>
    <n v="1965"/>
    <n v="4"/>
    <n v="4"/>
    <n v="110.05"/>
    <n v="2715518274227"/>
    <n v="82.5"/>
    <n v="24.2"/>
    <n v="60.7"/>
    <n v="67059887"/>
    <x v="235"/>
    <d v="1965-04-04T00:00:00"/>
    <d v="2026-02-03T00:00:00"/>
  </r>
  <r>
    <n v="256"/>
    <x v="9"/>
    <x v="244"/>
    <x v="8"/>
    <s v="Verbier"/>
    <s v="Oil and gas, IT, lotteries"/>
    <s v="Gambling &amp; Casinos"/>
    <x v="1"/>
    <x v="0"/>
    <x v="207"/>
    <x v="204"/>
    <x v="142"/>
    <n v="1969"/>
    <n v="3"/>
    <n v="15"/>
    <n v="99.55"/>
    <n v="703082435360"/>
    <n v="83.6"/>
    <n v="10.1"/>
    <n v="28.8"/>
    <n v="8574832"/>
    <x v="236"/>
    <d v="1969-03-15T00:00:00"/>
    <d v="2026-02-03T00:00:00"/>
  </r>
  <r>
    <n v="261"/>
    <x v="2"/>
    <x v="245"/>
    <x v="1"/>
    <s v="San Francisco"/>
    <s v="Airbnb"/>
    <s v="Technology"/>
    <x v="1"/>
    <x v="0"/>
    <x v="208"/>
    <x v="205"/>
    <x v="143"/>
    <n v="1983"/>
    <n v="6"/>
    <n v="11"/>
    <n v="117.24"/>
    <n v="21427700000000"/>
    <n v="78.5"/>
    <n v="9.6"/>
    <n v="36.6"/>
    <n v="328239523"/>
    <x v="237"/>
    <d v="1983-06-11T00:00:00"/>
    <d v="2026-02-03T00:00:00"/>
  </r>
  <r>
    <n v="261"/>
    <x v="12"/>
    <x v="246"/>
    <x v="16"/>
    <s v="Moscow"/>
    <s v="Oil"/>
    <s v="Energy"/>
    <x v="1"/>
    <x v="0"/>
    <x v="209"/>
    <x v="63"/>
    <x v="143"/>
    <n v="1956"/>
    <n v="4"/>
    <n v="5"/>
    <n v="180.75"/>
    <n v="1699876578871"/>
    <n v="72.7"/>
    <n v="11.4"/>
    <n v="46.2"/>
    <n v="144373535"/>
    <x v="238"/>
    <d v="1956-04-05T00:00:00"/>
    <d v="2026-02-03T00:00:00"/>
  </r>
  <r>
    <n v="261"/>
    <x v="0"/>
    <x v="247"/>
    <x v="1"/>
    <s v="Atlanta"/>
    <s v="Home Depot"/>
    <s v="Fashion &amp; Retail"/>
    <x v="1"/>
    <x v="0"/>
    <x v="210"/>
    <x v="0"/>
    <x v="143"/>
    <n v="1929"/>
    <n v="5"/>
    <n v="12"/>
    <n v="117.24"/>
    <n v="21427700000000"/>
    <n v="78.5"/>
    <n v="9.6"/>
    <n v="36.6"/>
    <n v="328239523"/>
    <x v="239"/>
    <d v="1929-05-12T00:00:00"/>
    <d v="2026-02-03T00:00:00"/>
  </r>
  <r>
    <n v="261"/>
    <x v="3"/>
    <x v="248"/>
    <x v="1"/>
    <s v="Winnetka"/>
    <s v="Insurance"/>
    <s v="Finance &amp; Investments"/>
    <x v="1"/>
    <x v="0"/>
    <x v="211"/>
    <x v="206"/>
    <x v="143"/>
    <n v="1937"/>
    <n v="5"/>
    <n v="15"/>
    <n v="117.24"/>
    <n v="21427700000000"/>
    <n v="78.5"/>
    <n v="9.6"/>
    <n v="36.6"/>
    <n v="328239523"/>
    <x v="240"/>
    <d v="1937-05-15T00:00:00"/>
    <d v="2026-02-03T00:00:00"/>
  </r>
  <r>
    <n v="261"/>
    <x v="3"/>
    <x v="249"/>
    <x v="1"/>
    <s v="Austin"/>
    <s v="Private equity"/>
    <s v="Finance &amp; Investments"/>
    <x v="1"/>
    <x v="0"/>
    <x v="212"/>
    <x v="207"/>
    <x v="143"/>
    <n v="1962"/>
    <n v="12"/>
    <n v="1"/>
    <n v="117.24"/>
    <n v="21427700000000"/>
    <n v="78.5"/>
    <n v="9.6"/>
    <n v="36.6"/>
    <n v="328239523"/>
    <x v="241"/>
    <d v="1962-12-01T00:00:00"/>
    <d v="2026-02-03T00:00:00"/>
  </r>
  <r>
    <n v="261"/>
    <x v="11"/>
    <x v="250"/>
    <x v="18"/>
    <s v="Prague"/>
    <s v="Coal mines"/>
    <s v="Metals &amp; Mining"/>
    <x v="1"/>
    <x v="0"/>
    <x v="213"/>
    <x v="119"/>
    <x v="143"/>
    <n v="1964"/>
    <n v="5"/>
    <n v="15"/>
    <n v="116.48"/>
    <n v="246489245495"/>
    <n v="79"/>
    <n v="14.9"/>
    <n v="46.1"/>
    <n v="10669709"/>
    <x v="242"/>
    <d v="1964-05-15T00:00:00"/>
    <d v="2026-02-03T00:00:00"/>
  </r>
  <r>
    <n v="268"/>
    <x v="3"/>
    <x v="251"/>
    <x v="1"/>
    <s v="Miami Beach"/>
    <s v="Private equity"/>
    <s v="Finance &amp; Investments"/>
    <x v="1"/>
    <x v="0"/>
    <x v="214"/>
    <x v="208"/>
    <x v="144"/>
    <n v="1970"/>
    <n v="9"/>
    <n v="23"/>
    <n v="117.24"/>
    <n v="21427700000000"/>
    <n v="78.5"/>
    <n v="9.6"/>
    <n v="36.6"/>
    <n v="328239523"/>
    <x v="243"/>
    <d v="1970-09-23T00:00:00"/>
    <d v="2026-02-03T00:00:00"/>
  </r>
  <r>
    <n v="268"/>
    <x v="0"/>
    <x v="252"/>
    <x v="5"/>
    <s v="Quanzhou"/>
    <s v="Sports apparel"/>
    <s v="Fashion &amp; Retail"/>
    <x v="1"/>
    <x v="0"/>
    <x v="45"/>
    <x v="209"/>
    <x v="144"/>
    <n v="1970"/>
    <n v="12"/>
    <n v="1"/>
    <n v="125.08"/>
    <n v="19910000000000"/>
    <n v="77"/>
    <n v="9.4"/>
    <n v="59.2"/>
    <n v="1397715000"/>
    <x v="244"/>
    <d v="1970-12-01T00:00:00"/>
    <d v="2026-02-03T00:00:00"/>
  </r>
  <r>
    <n v="268"/>
    <x v="0"/>
    <x v="253"/>
    <x v="1"/>
    <s v="Henderson"/>
    <s v="Walmart"/>
    <s v="Fashion &amp; Retail"/>
    <x v="0"/>
    <x v="1"/>
    <x v="215"/>
    <x v="210"/>
    <x v="144"/>
    <n v="1951"/>
    <n v="5"/>
    <n v="15"/>
    <n v="117.24"/>
    <n v="21427700000000"/>
    <n v="78.5"/>
    <n v="9.6"/>
    <n v="36.6"/>
    <n v="328239523"/>
    <x v="245"/>
    <d v="1951-05-15T00:00:00"/>
    <d v="2026-02-03T00:00:00"/>
  </r>
  <r>
    <n v="268"/>
    <x v="2"/>
    <x v="254"/>
    <x v="28"/>
    <s v="Seoul"/>
    <s v="Samsung"/>
    <s v="Technology"/>
    <x v="0"/>
    <x v="0"/>
    <x v="216"/>
    <x v="211"/>
    <x v="144"/>
    <n v="1968"/>
    <n v="6"/>
    <n v="23"/>
    <n v="115.16"/>
    <n v="2029000000000"/>
    <n v="82.6"/>
    <n v="15.6"/>
    <n v="33.200000000000003"/>
    <n v="51709098"/>
    <x v="246"/>
    <d v="1968-06-23T00:00:00"/>
    <d v="2026-02-03T00:00:00"/>
  </r>
  <r>
    <n v="268"/>
    <x v="3"/>
    <x v="255"/>
    <x v="1"/>
    <s v="New York"/>
    <s v="Private equity"/>
    <s v="Finance &amp; Investments"/>
    <x v="1"/>
    <x v="0"/>
    <x v="217"/>
    <x v="212"/>
    <x v="144"/>
    <n v="1968"/>
    <n v="9"/>
    <n v="17"/>
    <n v="117.24"/>
    <n v="21427700000000"/>
    <n v="78.5"/>
    <n v="9.6"/>
    <n v="36.6"/>
    <n v="328239523"/>
    <x v="247"/>
    <d v="1968-09-17T00:00:00"/>
    <d v="2026-02-03T00:00:00"/>
  </r>
  <r>
    <n v="268"/>
    <x v="3"/>
    <x v="256"/>
    <x v="1"/>
    <s v="New York"/>
    <s v="Hedge funds"/>
    <s v="Finance &amp; Investments"/>
    <x v="1"/>
    <x v="0"/>
    <x v="218"/>
    <x v="20"/>
    <x v="144"/>
    <n v="1951"/>
    <n v="3"/>
    <n v="29"/>
    <n v="117.24"/>
    <n v="21427700000000"/>
    <n v="78.5"/>
    <n v="9.6"/>
    <n v="36.6"/>
    <n v="328239523"/>
    <x v="197"/>
    <d v="1951-03-29T00:00:00"/>
    <d v="2026-02-03T00:00:00"/>
  </r>
  <r>
    <n v="268"/>
    <x v="11"/>
    <x v="257"/>
    <x v="16"/>
    <s v="Moscow"/>
    <s v="Metals and mining"/>
    <s v="Metals &amp; Mining"/>
    <x v="1"/>
    <x v="0"/>
    <x v="219"/>
    <x v="152"/>
    <x v="144"/>
    <n v="1966"/>
    <n v="1"/>
    <n v="30"/>
    <n v="180.75"/>
    <n v="1699876578871"/>
    <n v="72.7"/>
    <n v="11.4"/>
    <n v="46.2"/>
    <n v="144373535"/>
    <x v="248"/>
    <d v="1966-01-30T00:00:00"/>
    <d v="2026-02-03T00:00:00"/>
  </r>
  <r>
    <n v="268"/>
    <x v="6"/>
    <x v="258"/>
    <x v="10"/>
    <s v="Vienna"/>
    <s v="Real estate, construction"/>
    <s v="Diversified"/>
    <x v="1"/>
    <x v="0"/>
    <x v="220"/>
    <x v="139"/>
    <x v="144"/>
    <n v="1972"/>
    <n v="9"/>
    <n v="14"/>
    <n v="118.06"/>
    <n v="446314739528"/>
    <n v="81.599999999999994"/>
    <n v="25.4"/>
    <n v="51.4"/>
    <n v="8877067"/>
    <x v="249"/>
    <d v="1972-09-14T00:00:00"/>
    <d v="2026-02-03T00:00:00"/>
  </r>
  <r>
    <n v="276"/>
    <x v="5"/>
    <x v="259"/>
    <x v="1"/>
    <s v="Saddle River"/>
    <s v="Telecom"/>
    <s v="Telecom"/>
    <x v="1"/>
    <x v="0"/>
    <x v="221"/>
    <x v="213"/>
    <x v="145"/>
    <n v="1949"/>
    <n v="11"/>
    <n v="25"/>
    <n v="117.24"/>
    <n v="21427700000000"/>
    <n v="78.5"/>
    <n v="9.6"/>
    <n v="36.6"/>
    <n v="328239523"/>
    <x v="250"/>
    <d v="1949-11-25T00:00:00"/>
    <d v="2026-02-03T00:00:00"/>
  </r>
  <r>
    <n v="276"/>
    <x v="10"/>
    <x v="260"/>
    <x v="5"/>
    <s v="Hangzhou"/>
    <s v="Petrochemicals"/>
    <s v="Manufacturing"/>
    <x v="1"/>
    <x v="0"/>
    <x v="72"/>
    <x v="214"/>
    <x v="145"/>
    <n v="1956"/>
    <n v="7"/>
    <n v="1"/>
    <n v="125.08"/>
    <n v="19910000000000"/>
    <n v="77"/>
    <n v="9.4"/>
    <n v="59.2"/>
    <n v="1397715000"/>
    <x v="251"/>
    <d v="1956-07-01T00:00:00"/>
    <d v="2026-02-03T00:00:00"/>
  </r>
  <r>
    <n v="276"/>
    <x v="2"/>
    <x v="261"/>
    <x v="5"/>
    <s v="Shanghai"/>
    <s v="Financial information"/>
    <s v="Technology"/>
    <x v="1"/>
    <x v="0"/>
    <x v="222"/>
    <x v="215"/>
    <x v="145"/>
    <n v="1970"/>
    <n v="1"/>
    <n v="3"/>
    <n v="125.08"/>
    <n v="19910000000000"/>
    <n v="77"/>
    <n v="9.4"/>
    <n v="59.2"/>
    <n v="1397715000"/>
    <x v="252"/>
    <d v="1970-01-03T00:00:00"/>
    <d v="2026-02-03T00:00:00"/>
  </r>
  <r>
    <n v="276"/>
    <x v="10"/>
    <x v="262"/>
    <x v="5"/>
    <s v="Guangzhou"/>
    <s v="Furniture"/>
    <s v="Manufacturing"/>
    <x v="1"/>
    <x v="0"/>
    <x v="223"/>
    <x v="216"/>
    <x v="145"/>
    <n v="1964"/>
    <n v="8"/>
    <n v="1"/>
    <n v="125.08"/>
    <n v="19910000000000"/>
    <n v="77"/>
    <n v="9.4"/>
    <n v="59.2"/>
    <n v="1397715000"/>
    <x v="253"/>
    <d v="1964-08-01T00:00:00"/>
    <d v="2026-02-03T00:00:00"/>
  </r>
  <r>
    <n v="282"/>
    <x v="7"/>
    <x v="263"/>
    <x v="0"/>
    <s v="Laval"/>
    <s v="Cheese"/>
    <s v="Food &amp; Beverage"/>
    <x v="0"/>
    <x v="0"/>
    <x v="61"/>
    <x v="217"/>
    <x v="146"/>
    <n v="1967"/>
    <n v="6"/>
    <n v="5"/>
    <n v="110.05"/>
    <n v="2715518274227"/>
    <n v="82.5"/>
    <n v="24.2"/>
    <n v="60.7"/>
    <n v="67059887"/>
    <x v="254"/>
    <d v="1967-06-05T00:00:00"/>
    <d v="2026-02-03T00:00:00"/>
  </r>
  <r>
    <n v="282"/>
    <x v="7"/>
    <x v="264"/>
    <x v="0"/>
    <s v="Laval"/>
    <s v="Cheese"/>
    <s v="Food &amp; Beverage"/>
    <x v="0"/>
    <x v="1"/>
    <x v="224"/>
    <x v="218"/>
    <x v="146"/>
    <n v="1980"/>
    <n v="7"/>
    <n v="30"/>
    <n v="110.05"/>
    <n v="2715518274227"/>
    <n v="82.5"/>
    <n v="24.2"/>
    <n v="60.7"/>
    <n v="67059887"/>
    <x v="255"/>
    <d v="1980-07-30T00:00:00"/>
    <d v="2026-02-03T00:00:00"/>
  </r>
  <r>
    <n v="282"/>
    <x v="4"/>
    <x v="265"/>
    <x v="1"/>
    <s v="Beverly Hills"/>
    <s v="Movies, record labels"/>
    <s v="Media &amp; Entertainment"/>
    <x v="1"/>
    <x v="0"/>
    <x v="225"/>
    <x v="20"/>
    <x v="146"/>
    <n v="1943"/>
    <n v="2"/>
    <n v="21"/>
    <n v="117.24"/>
    <n v="21427700000000"/>
    <n v="78.5"/>
    <n v="9.6"/>
    <n v="36.6"/>
    <n v="328239523"/>
    <x v="256"/>
    <d v="1943-02-21T00:00:00"/>
    <d v="2026-02-03T00:00:00"/>
  </r>
  <r>
    <n v="282"/>
    <x v="2"/>
    <x v="266"/>
    <x v="5"/>
    <s v="Beijing"/>
    <s v="Internet search"/>
    <s v="Technology"/>
    <x v="1"/>
    <x v="0"/>
    <x v="72"/>
    <x v="33"/>
    <x v="146"/>
    <n v="1968"/>
    <n v="11"/>
    <n v="17"/>
    <n v="125.08"/>
    <n v="19910000000000"/>
    <n v="77"/>
    <n v="9.4"/>
    <n v="59.2"/>
    <n v="1397715000"/>
    <x v="257"/>
    <d v="1968-11-17T00:00:00"/>
    <d v="2026-02-03T00:00:00"/>
  </r>
  <r>
    <n v="282"/>
    <x v="14"/>
    <x v="267"/>
    <x v="5"/>
    <s v="Chengdu"/>
    <s v="Agribusiness"/>
    <s v="Service"/>
    <x v="1"/>
    <x v="0"/>
    <x v="125"/>
    <x v="219"/>
    <x v="146"/>
    <n v="1951"/>
    <n v="9"/>
    <n v="1"/>
    <n v="125.08"/>
    <n v="19910000000000"/>
    <n v="77"/>
    <n v="9.4"/>
    <n v="59.2"/>
    <n v="1397715000"/>
    <x v="258"/>
    <d v="1951-09-01T00:00:00"/>
    <d v="2026-02-03T00:00:00"/>
  </r>
  <r>
    <n v="282"/>
    <x v="2"/>
    <x v="268"/>
    <x v="1"/>
    <s v="Newport Beach"/>
    <s v="Semiconductors"/>
    <s v="Technology"/>
    <x v="1"/>
    <x v="0"/>
    <x v="226"/>
    <x v="220"/>
    <x v="146"/>
    <n v="1954"/>
    <n v="9"/>
    <n v="20"/>
    <n v="117.24"/>
    <n v="21427700000000"/>
    <n v="78.5"/>
    <n v="9.6"/>
    <n v="36.6"/>
    <n v="328239523"/>
    <x v="259"/>
    <d v="1954-09-20T00:00:00"/>
    <d v="2026-02-03T00:00:00"/>
  </r>
  <r>
    <n v="282"/>
    <x v="13"/>
    <x v="269"/>
    <x v="1"/>
    <s v="Naples"/>
    <s v="Medical devices"/>
    <s v="Healthcare"/>
    <x v="1"/>
    <x v="0"/>
    <x v="227"/>
    <x v="41"/>
    <x v="146"/>
    <n v="1955"/>
    <n v="1"/>
    <n v="3"/>
    <n v="117.24"/>
    <n v="21427700000000"/>
    <n v="78.5"/>
    <n v="9.6"/>
    <n v="36.6"/>
    <n v="328239523"/>
    <x v="260"/>
    <d v="1955-01-03T00:00:00"/>
    <d v="2026-02-03T00:00:00"/>
  </r>
  <r>
    <n v="282"/>
    <x v="15"/>
    <x v="270"/>
    <x v="31"/>
    <s v="Oslo"/>
    <s v="Real estate"/>
    <s v="Real Estate"/>
    <x v="1"/>
    <x v="0"/>
    <x v="228"/>
    <x v="221"/>
    <x v="146"/>
    <n v="1961"/>
    <n v="6"/>
    <n v="23"/>
    <n v="120.27"/>
    <n v="403336363636"/>
    <n v="82.8"/>
    <n v="23.9"/>
    <n v="36.200000000000003"/>
    <n v="5347896"/>
    <x v="261"/>
    <d v="1961-06-23T00:00:00"/>
    <d v="2026-02-03T00:00:00"/>
  </r>
  <r>
    <n v="290"/>
    <x v="12"/>
    <x v="271"/>
    <x v="5"/>
    <s v="Hefei"/>
    <s v="Photovoltaic equipment"/>
    <s v="Energy"/>
    <x v="1"/>
    <x v="0"/>
    <x v="229"/>
    <x v="222"/>
    <x v="147"/>
    <n v="1968"/>
    <n v="7"/>
    <n v="24"/>
    <n v="125.08"/>
    <n v="19910000000000"/>
    <n v="77"/>
    <n v="9.4"/>
    <n v="59.2"/>
    <n v="1397715000"/>
    <x v="262"/>
    <d v="1968-07-24T00:00:00"/>
    <d v="2026-02-03T00:00:00"/>
  </r>
  <r>
    <n v="290"/>
    <x v="13"/>
    <x v="272"/>
    <x v="3"/>
    <s v="Ahmedabad"/>
    <s v="Pharmaceuticals"/>
    <s v="Healthcare"/>
    <x v="1"/>
    <x v="0"/>
    <x v="230"/>
    <x v="223"/>
    <x v="147"/>
    <n v="1933"/>
    <n v="9"/>
    <n v="19"/>
    <n v="180.44"/>
    <n v="2611000000000"/>
    <n v="69.400000000000006"/>
    <n v="11.2"/>
    <n v="49.7"/>
    <n v="1366417754"/>
    <x v="263"/>
    <d v="1933-09-19T00:00:00"/>
    <d v="2026-02-03T00:00:00"/>
  </r>
  <r>
    <n v="290"/>
    <x v="10"/>
    <x v="273"/>
    <x v="12"/>
    <s v="London"/>
    <s v="Chemicals"/>
    <s v="Manufacturing"/>
    <x v="1"/>
    <x v="0"/>
    <x v="231"/>
    <x v="71"/>
    <x v="147"/>
    <n v="1955"/>
    <n v="12"/>
    <n v="4"/>
    <n v="119.62"/>
    <n v="2827113184696"/>
    <n v="81.3"/>
    <n v="25.5"/>
    <n v="30.6"/>
    <n v="66834405"/>
    <x v="264"/>
    <d v="1955-12-04T00:00:00"/>
    <d v="2026-02-03T00:00:00"/>
  </r>
  <r>
    <n v="290"/>
    <x v="2"/>
    <x v="274"/>
    <x v="1"/>
    <s v="Austin"/>
    <s v="Airbnb"/>
    <s v="Technology"/>
    <x v="1"/>
    <x v="0"/>
    <x v="232"/>
    <x v="224"/>
    <x v="147"/>
    <n v="1981"/>
    <n v="8"/>
    <n v="21"/>
    <n v="117.24"/>
    <n v="21427700000000"/>
    <n v="78.5"/>
    <n v="9.6"/>
    <n v="36.6"/>
    <n v="328239523"/>
    <x v="265"/>
    <d v="1981-08-21T00:00:00"/>
    <d v="2026-02-03T00:00:00"/>
  </r>
  <r>
    <n v="290"/>
    <x v="15"/>
    <x v="275"/>
    <x v="21"/>
    <s v="Singapore"/>
    <s v="Real Estate"/>
    <s v="Real Estate"/>
    <x v="0"/>
    <x v="0"/>
    <x v="233"/>
    <x v="128"/>
    <x v="147"/>
    <n v="1959"/>
    <n v="1"/>
    <n v="1"/>
    <n v="114.41"/>
    <n v="372062527489"/>
    <n v="83.1"/>
    <n v="13.1"/>
    <n v="21"/>
    <n v="5703569"/>
    <x v="208"/>
    <d v="1959-01-01T00:00:00"/>
    <d v="2026-02-03T00:00:00"/>
  </r>
  <r>
    <n v="290"/>
    <x v="10"/>
    <x v="276"/>
    <x v="12"/>
    <s v="London"/>
    <s v="Chemicals"/>
    <s v="Manufacturing"/>
    <x v="1"/>
    <x v="0"/>
    <x v="234"/>
    <x v="29"/>
    <x v="147"/>
    <n v="1957"/>
    <n v="3"/>
    <n v="7"/>
    <n v="119.62"/>
    <n v="2827113184696"/>
    <n v="81.3"/>
    <n v="25.5"/>
    <n v="30.6"/>
    <n v="66834405"/>
    <x v="266"/>
    <d v="1957-03-07T00:00:00"/>
    <d v="2026-02-03T00:00:00"/>
  </r>
  <r>
    <n v="290"/>
    <x v="15"/>
    <x v="277"/>
    <x v="1"/>
    <s v="New York"/>
    <s v="Real estate"/>
    <s v="Real Estate"/>
    <x v="0"/>
    <x v="0"/>
    <x v="235"/>
    <x v="67"/>
    <x v="147"/>
    <n v="1938"/>
    <n v="3"/>
    <n v="28"/>
    <n v="117.24"/>
    <n v="21427700000000"/>
    <n v="78.5"/>
    <n v="9.6"/>
    <n v="36.6"/>
    <n v="328239523"/>
    <x v="267"/>
    <d v="1938-03-28T00:00:00"/>
    <d v="2026-02-03T00:00:00"/>
  </r>
  <r>
    <n v="290"/>
    <x v="13"/>
    <x v="278"/>
    <x v="5"/>
    <s v="Shanghai"/>
    <s v="Pharmaceuticals"/>
    <s v="Healthcare"/>
    <x v="1"/>
    <x v="1"/>
    <x v="14"/>
    <x v="225"/>
    <x v="147"/>
    <n v="1961"/>
    <n v="1"/>
    <n v="1"/>
    <n v="125.08"/>
    <n v="19910000000000"/>
    <n v="77"/>
    <n v="9.4"/>
    <n v="59.2"/>
    <n v="1397715000"/>
    <x v="268"/>
    <d v="1961-01-01T00:00:00"/>
    <d v="2026-02-03T00:00:00"/>
  </r>
  <r>
    <n v="299"/>
    <x v="17"/>
    <x v="279"/>
    <x v="1"/>
    <s v="Atlanta"/>
    <s v="Home Depot"/>
    <s v="Sports"/>
    <x v="1"/>
    <x v="0"/>
    <x v="236"/>
    <x v="226"/>
    <x v="148"/>
    <n v="1942"/>
    <n v="9"/>
    <n v="27"/>
    <n v="117.24"/>
    <n v="21427700000000"/>
    <n v="78.5"/>
    <n v="9.6"/>
    <n v="36.6"/>
    <n v="328239523"/>
    <x v="269"/>
    <d v="1942-09-27T00:00:00"/>
    <d v="2026-02-03T00:00:00"/>
  </r>
  <r>
    <n v="299"/>
    <x v="0"/>
    <x v="280"/>
    <x v="1"/>
    <s v="San Antonio"/>
    <s v="Supermarkets"/>
    <s v="Fashion &amp; Retail"/>
    <x v="0"/>
    <x v="0"/>
    <x v="237"/>
    <x v="15"/>
    <x v="148"/>
    <n v="1938"/>
    <n v="2"/>
    <n v="3"/>
    <n v="117.24"/>
    <n v="21427700000000"/>
    <n v="78.5"/>
    <n v="9.6"/>
    <n v="36.6"/>
    <n v="328239523"/>
    <x v="270"/>
    <d v="1938-02-03T00:00:00"/>
    <d v="2026-02-03T00:00:00"/>
  </r>
  <r>
    <n v="299"/>
    <x v="0"/>
    <x v="281"/>
    <x v="5"/>
    <s v="Quanzhou"/>
    <s v="Sports apparel"/>
    <s v="Fashion &amp; Retail"/>
    <x v="1"/>
    <x v="0"/>
    <x v="45"/>
    <x v="227"/>
    <x v="148"/>
    <n v="1964"/>
    <n v="1"/>
    <n v="1"/>
    <n v="125.08"/>
    <n v="19910000000000"/>
    <n v="77"/>
    <n v="9.4"/>
    <n v="59.2"/>
    <n v="1397715000"/>
    <x v="136"/>
    <d v="1964-01-01T00:00:00"/>
    <d v="2026-02-03T00:00:00"/>
  </r>
  <r>
    <n v="299"/>
    <x v="3"/>
    <x v="282"/>
    <x v="1"/>
    <s v="Palm Beach"/>
    <s v="Hedge funds"/>
    <s v="Finance &amp; Investments"/>
    <x v="1"/>
    <x v="0"/>
    <x v="110"/>
    <x v="228"/>
    <x v="148"/>
    <n v="1954"/>
    <n v="9"/>
    <n v="28"/>
    <n v="117.24"/>
    <n v="21427700000000"/>
    <n v="78.5"/>
    <n v="9.6"/>
    <n v="36.6"/>
    <n v="328239523"/>
    <x v="271"/>
    <d v="1954-09-28T00:00:00"/>
    <d v="2026-02-03T00:00:00"/>
  </r>
  <r>
    <n v="299"/>
    <x v="3"/>
    <x v="283"/>
    <x v="1"/>
    <s v="New York"/>
    <s v="Private equity"/>
    <s v="Finance &amp; Investments"/>
    <x v="1"/>
    <x v="0"/>
    <x v="238"/>
    <x v="220"/>
    <x v="148"/>
    <n v="1944"/>
    <n v="1"/>
    <n v="6"/>
    <n v="117.24"/>
    <n v="21427700000000"/>
    <n v="78.5"/>
    <n v="9.6"/>
    <n v="36.6"/>
    <n v="328239523"/>
    <x v="272"/>
    <d v="1944-01-06T00:00:00"/>
    <d v="2026-02-03T00:00:00"/>
  </r>
  <r>
    <n v="299"/>
    <x v="7"/>
    <x v="284"/>
    <x v="21"/>
    <s v="Singapore"/>
    <s v="Restaurants"/>
    <s v="Food &amp; Beverage"/>
    <x v="1"/>
    <x v="0"/>
    <x v="22"/>
    <x v="229"/>
    <x v="148"/>
    <n v="1970"/>
    <n v="7"/>
    <n v="1"/>
    <n v="114.41"/>
    <n v="372062527489"/>
    <n v="83.1"/>
    <n v="13.1"/>
    <n v="21"/>
    <n v="5703569"/>
    <x v="273"/>
    <d v="1970-07-01T00:00:00"/>
    <d v="2026-02-03T00:00:00"/>
  </r>
  <r>
    <n v="305"/>
    <x v="2"/>
    <x v="285"/>
    <x v="1"/>
    <s v="Cary"/>
    <s v="Software"/>
    <s v="Technology"/>
    <x v="1"/>
    <x v="0"/>
    <x v="239"/>
    <x v="58"/>
    <x v="149"/>
    <n v="1943"/>
    <n v="1"/>
    <n v="6"/>
    <n v="117.24"/>
    <n v="21427700000000"/>
    <n v="78.5"/>
    <n v="9.6"/>
    <n v="36.6"/>
    <n v="328239523"/>
    <x v="274"/>
    <d v="1943-01-06T00:00:00"/>
    <d v="2026-02-03T00:00:00"/>
  </r>
  <r>
    <n v="305"/>
    <x v="10"/>
    <x v="286"/>
    <x v="12"/>
    <s v="London"/>
    <s v="Petrochemicals"/>
    <s v="Manufacturing"/>
    <x v="0"/>
    <x v="0"/>
    <x v="240"/>
    <x v="230"/>
    <x v="149"/>
    <n v="1952"/>
    <n v="8"/>
    <n v="11"/>
    <n v="119.62"/>
    <n v="2827113184696"/>
    <n v="81.3"/>
    <n v="25.5"/>
    <n v="30.6"/>
    <n v="66834405"/>
    <x v="275"/>
    <d v="1952-08-11T00:00:00"/>
    <d v="2026-02-03T00:00:00"/>
  </r>
  <r>
    <n v="305"/>
    <x v="0"/>
    <x v="287"/>
    <x v="5"/>
    <s v="Ningbo"/>
    <s v="Textiles, apparel"/>
    <s v="Fashion &amp; Retail"/>
    <x v="1"/>
    <x v="0"/>
    <x v="28"/>
    <x v="231"/>
    <x v="149"/>
    <n v="1964"/>
    <n v="1"/>
    <n v="1"/>
    <n v="125.08"/>
    <n v="19910000000000"/>
    <n v="77"/>
    <n v="9.4"/>
    <n v="59.2"/>
    <n v="1397715000"/>
    <x v="136"/>
    <d v="1964-01-01T00:00:00"/>
    <d v="2026-02-03T00:00:00"/>
  </r>
  <r>
    <n v="305"/>
    <x v="15"/>
    <x v="288"/>
    <x v="21"/>
    <s v="Singapore"/>
    <s v="Real estate"/>
    <s v="Real Estate"/>
    <x v="0"/>
    <x v="0"/>
    <x v="233"/>
    <x v="92"/>
    <x v="149"/>
    <n v="1952"/>
    <n v="1"/>
    <n v="1"/>
    <n v="114.41"/>
    <n v="372062527489"/>
    <n v="83.1"/>
    <n v="13.1"/>
    <n v="21"/>
    <n v="5703569"/>
    <x v="276"/>
    <d v="1952-01-01T00:00:00"/>
    <d v="2026-02-03T00:00:00"/>
  </r>
  <r>
    <n v="305"/>
    <x v="10"/>
    <x v="289"/>
    <x v="1"/>
    <s v="Santa Barbara"/>
    <s v="Manufacturing, investments"/>
    <s v="Manufacturing"/>
    <x v="1"/>
    <x v="0"/>
    <x v="241"/>
    <x v="232"/>
    <x v="149"/>
    <n v="1951"/>
    <n v="3"/>
    <n v="31"/>
    <n v="117.24"/>
    <n v="21427700000000"/>
    <n v="78.5"/>
    <n v="9.6"/>
    <n v="36.6"/>
    <n v="328239523"/>
    <x v="277"/>
    <d v="1951-03-31T00:00:00"/>
    <d v="2026-02-03T00:00:00"/>
  </r>
  <r>
    <n v="305"/>
    <x v="16"/>
    <x v="290"/>
    <x v="32"/>
    <s v="Cairo"/>
    <s v="Construction, investments"/>
    <s v="Construction &amp; Engineering"/>
    <x v="0"/>
    <x v="0"/>
    <x v="242"/>
    <x v="233"/>
    <x v="149"/>
    <n v="1961"/>
    <n v="1"/>
    <n v="19"/>
    <n v="288.57"/>
    <n v="303175127598"/>
    <n v="71.8"/>
    <n v="12.5"/>
    <n v="44.4"/>
    <n v="100388073"/>
    <x v="278"/>
    <d v="1961-01-19T00:00:00"/>
    <d v="2026-02-03T00:00:00"/>
  </r>
  <r>
    <n v="305"/>
    <x v="7"/>
    <x v="291"/>
    <x v="1"/>
    <s v="Adel"/>
    <s v="Agriculture"/>
    <s v="Food &amp; Beverage"/>
    <x v="1"/>
    <x v="0"/>
    <x v="243"/>
    <x v="110"/>
    <x v="149"/>
    <n v="1941"/>
    <n v="11"/>
    <n v="30"/>
    <n v="117.24"/>
    <n v="21427700000000"/>
    <n v="78.5"/>
    <n v="9.6"/>
    <n v="36.6"/>
    <n v="328239523"/>
    <x v="279"/>
    <d v="1941-11-30T00:00:00"/>
    <d v="2026-02-03T00:00:00"/>
  </r>
  <r>
    <n v="312"/>
    <x v="10"/>
    <x v="292"/>
    <x v="3"/>
    <s v="Kolkata"/>
    <s v="Cement"/>
    <s v="Manufacturing"/>
    <x v="0"/>
    <x v="0"/>
    <x v="244"/>
    <x v="234"/>
    <x v="150"/>
    <n v="1931"/>
    <n v="6"/>
    <n v="1"/>
    <n v="180.44"/>
    <n v="2611000000000"/>
    <n v="69.400000000000006"/>
    <n v="11.2"/>
    <n v="49.7"/>
    <n v="1366417754"/>
    <x v="280"/>
    <d v="1931-06-01T00:00:00"/>
    <d v="2026-02-03T00:00:00"/>
  </r>
  <r>
    <n v="312"/>
    <x v="11"/>
    <x v="293"/>
    <x v="16"/>
    <s v="Moscow"/>
    <s v="Mining, metals, machinery"/>
    <s v="Metals &amp; Mining"/>
    <x v="1"/>
    <x v="0"/>
    <x v="245"/>
    <x v="235"/>
    <x v="150"/>
    <n v="1963"/>
    <n v="12"/>
    <n v="5"/>
    <n v="180.75"/>
    <n v="1699876578871"/>
    <n v="72.7"/>
    <n v="11.4"/>
    <n v="46.2"/>
    <n v="144373535"/>
    <x v="281"/>
    <d v="1963-12-05T00:00:00"/>
    <d v="2026-02-03T00:00:00"/>
  </r>
  <r>
    <n v="312"/>
    <x v="0"/>
    <x v="294"/>
    <x v="33"/>
    <s v="Aarhus"/>
    <s v="Fashion retail"/>
    <s v="Fashion &amp; Retail"/>
    <x v="0"/>
    <x v="0"/>
    <x v="246"/>
    <x v="236"/>
    <x v="150"/>
    <n v="1972"/>
    <n v="11"/>
    <n v="4"/>
    <n v="110.35"/>
    <n v="348078018464"/>
    <n v="81"/>
    <n v="32.4"/>
    <n v="23.8"/>
    <n v="5818553"/>
    <x v="282"/>
    <d v="1972-11-04T00:00:00"/>
    <d v="2026-02-03T00:00:00"/>
  </r>
  <r>
    <n v="312"/>
    <x v="8"/>
    <x v="295"/>
    <x v="30"/>
    <s v="Manila"/>
    <s v="Ports"/>
    <s v="Logistics"/>
    <x v="0"/>
    <x v="0"/>
    <x v="247"/>
    <x v="237"/>
    <x v="150"/>
    <n v="1960"/>
    <n v="3"/>
    <n v="3"/>
    <n v="129.61000000000001"/>
    <n v="376795508680"/>
    <n v="71.099999999999994"/>
    <n v="14"/>
    <n v="43.1"/>
    <n v="108116615"/>
    <x v="283"/>
    <d v="1960-03-03T00:00:00"/>
    <d v="2026-02-03T00:00:00"/>
  </r>
  <r>
    <n v="312"/>
    <x v="2"/>
    <x v="296"/>
    <x v="5"/>
    <s v="Shenzhen"/>
    <s v="Electronics components"/>
    <s v="Technology"/>
    <x v="1"/>
    <x v="1"/>
    <x v="64"/>
    <x v="238"/>
    <x v="150"/>
    <n v="1967"/>
    <n v="6"/>
    <n v="3"/>
    <n v="125.08"/>
    <n v="19910000000000"/>
    <n v="77"/>
    <n v="9.4"/>
    <n v="59.2"/>
    <n v="1397715000"/>
    <x v="284"/>
    <d v="1967-06-03T00:00:00"/>
    <d v="2026-02-03T00:00:00"/>
  </r>
  <r>
    <n v="317"/>
    <x v="3"/>
    <x v="297"/>
    <x v="1"/>
    <s v="Gladwyne"/>
    <s v="Trading, investments"/>
    <s v="Finance &amp; Investments"/>
    <x v="1"/>
    <x v="0"/>
    <x v="248"/>
    <x v="226"/>
    <x v="151"/>
    <n v="1957"/>
    <n v="11"/>
    <n v="25"/>
    <n v="117.24"/>
    <n v="21427700000000"/>
    <n v="78.5"/>
    <n v="9.6"/>
    <n v="36.6"/>
    <n v="328239523"/>
    <x v="285"/>
    <d v="1957-11-25T00:00:00"/>
    <d v="2026-02-03T00:00:00"/>
  </r>
  <r>
    <n v="317"/>
    <x v="15"/>
    <x v="298"/>
    <x v="1"/>
    <s v="Palm Beach"/>
    <s v="Real estate, investments"/>
    <s v="Real Estate"/>
    <x v="1"/>
    <x v="0"/>
    <x v="249"/>
    <x v="2"/>
    <x v="151"/>
    <n v="1954"/>
    <n v="12"/>
    <n v="10"/>
    <n v="117.24"/>
    <n v="21427700000000"/>
    <n v="78.5"/>
    <n v="9.6"/>
    <n v="36.6"/>
    <n v="328239523"/>
    <x v="286"/>
    <d v="1954-12-10T00:00:00"/>
    <d v="2026-02-03T00:00:00"/>
  </r>
  <r>
    <n v="317"/>
    <x v="3"/>
    <x v="299"/>
    <x v="1"/>
    <s v="Malibu"/>
    <s v="Auto loans"/>
    <s v="Finance &amp; Investments"/>
    <x v="1"/>
    <x v="0"/>
    <x v="250"/>
    <x v="239"/>
    <x v="151"/>
    <n v="1943"/>
    <n v="6"/>
    <n v="13"/>
    <n v="117.24"/>
    <n v="21427700000000"/>
    <n v="78.5"/>
    <n v="9.6"/>
    <n v="36.6"/>
    <n v="328239523"/>
    <x v="287"/>
    <d v="1943-06-13T00:00:00"/>
    <d v="2026-02-03T00:00:00"/>
  </r>
  <r>
    <n v="317"/>
    <x v="12"/>
    <x v="300"/>
    <x v="1"/>
    <s v="Houston"/>
    <s v="Pipelines"/>
    <s v="Energy"/>
    <x v="1"/>
    <x v="0"/>
    <x v="251"/>
    <x v="177"/>
    <x v="151"/>
    <n v="1944"/>
    <n v="10"/>
    <n v="19"/>
    <n v="117.24"/>
    <n v="21427700000000"/>
    <n v="78.5"/>
    <n v="9.6"/>
    <n v="36.6"/>
    <n v="328239523"/>
    <x v="288"/>
    <d v="1944-10-19T00:00:00"/>
    <d v="2026-02-03T00:00:00"/>
  </r>
  <r>
    <n v="317"/>
    <x v="3"/>
    <x v="301"/>
    <x v="15"/>
    <s v="Dubai"/>
    <s v="Fintech"/>
    <s v="Finance &amp; Investments"/>
    <x v="1"/>
    <x v="0"/>
    <x v="252"/>
    <x v="240"/>
    <x v="151"/>
    <n v="1981"/>
    <n v="8"/>
    <n v="15"/>
    <n v="114.52"/>
    <n v="421142267938"/>
    <n v="77.8"/>
    <n v="0.1"/>
    <n v="15.9"/>
    <n v="9770529"/>
    <x v="289"/>
    <d v="1981-08-15T00:00:00"/>
    <d v="2026-02-03T00:00:00"/>
  </r>
  <r>
    <n v="317"/>
    <x v="0"/>
    <x v="302"/>
    <x v="11"/>
    <s v="Tokyo"/>
    <s v="Personal care goods"/>
    <s v="Fashion &amp; Retail"/>
    <x v="0"/>
    <x v="0"/>
    <x v="253"/>
    <x v="241"/>
    <x v="151"/>
    <n v="1961"/>
    <n v="7"/>
    <n v="12"/>
    <n v="105.48"/>
    <n v="5081769542380"/>
    <n v="84.2"/>
    <n v="11.9"/>
    <n v="46.7"/>
    <n v="126226568"/>
    <x v="290"/>
    <d v="1961-07-12T00:00:00"/>
    <d v="2026-02-03T00:00:00"/>
  </r>
  <r>
    <n v="317"/>
    <x v="7"/>
    <x v="303"/>
    <x v="5"/>
    <s v="Hangzhou"/>
    <s v="Beverages"/>
    <s v="Food &amp; Beverage"/>
    <x v="1"/>
    <x v="0"/>
    <x v="254"/>
    <x v="242"/>
    <x v="151"/>
    <n v="1945"/>
    <n v="10"/>
    <n v="1"/>
    <n v="125.08"/>
    <n v="19910000000000"/>
    <n v="77"/>
    <n v="9.4"/>
    <n v="59.2"/>
    <n v="1397715000"/>
    <x v="291"/>
    <d v="1945-10-01T00:00:00"/>
    <d v="2026-02-03T00:00:00"/>
  </r>
  <r>
    <n v="325"/>
    <x v="2"/>
    <x v="304"/>
    <x v="1"/>
    <s v="Madison"/>
    <s v="Healthcare software"/>
    <s v="Technology"/>
    <x v="1"/>
    <x v="1"/>
    <x v="255"/>
    <x v="129"/>
    <x v="152"/>
    <n v="1943"/>
    <n v="8"/>
    <n v="1"/>
    <n v="117.24"/>
    <n v="21427700000000"/>
    <n v="78.5"/>
    <n v="9.6"/>
    <n v="36.6"/>
    <n v="328239523"/>
    <x v="292"/>
    <d v="1943-08-01T00:00:00"/>
    <d v="2026-02-03T00:00:00"/>
  </r>
  <r>
    <n v="325"/>
    <x v="9"/>
    <x v="305"/>
    <x v="10"/>
    <s v="Vienna"/>
    <s v="Gambling"/>
    <s v="Gambling &amp; Casinos"/>
    <x v="1"/>
    <x v="0"/>
    <x v="256"/>
    <x v="126"/>
    <x v="152"/>
    <n v="1947"/>
    <n v="1"/>
    <n v="3"/>
    <n v="118.06"/>
    <n v="446314739528"/>
    <n v="81.599999999999994"/>
    <n v="25.4"/>
    <n v="51.4"/>
    <n v="8877067"/>
    <x v="293"/>
    <d v="1947-01-03T00:00:00"/>
    <d v="2026-02-03T00:00:00"/>
  </r>
  <r>
    <n v="325"/>
    <x v="14"/>
    <x v="306"/>
    <x v="1"/>
    <s v="Lexington"/>
    <s v="Self storage"/>
    <s v="Service"/>
    <x v="0"/>
    <x v="1"/>
    <x v="257"/>
    <x v="243"/>
    <x v="152"/>
    <n v="1961"/>
    <n v="11"/>
    <n v="16"/>
    <n v="117.24"/>
    <n v="21427700000000"/>
    <n v="78.5"/>
    <n v="9.6"/>
    <n v="36.6"/>
    <n v="328239523"/>
    <x v="294"/>
    <d v="1961-11-16T00:00:00"/>
    <d v="2026-02-03T00:00:00"/>
  </r>
  <r>
    <n v="325"/>
    <x v="10"/>
    <x v="307"/>
    <x v="5"/>
    <s v="Changsha"/>
    <s v="Construction equipment"/>
    <s v="Manufacturing"/>
    <x v="1"/>
    <x v="0"/>
    <x v="258"/>
    <x v="244"/>
    <x v="152"/>
    <n v="1956"/>
    <n v="12"/>
    <n v="14"/>
    <n v="125.08"/>
    <n v="19910000000000"/>
    <n v="77"/>
    <n v="9.4"/>
    <n v="59.2"/>
    <n v="1397715000"/>
    <x v="295"/>
    <d v="1956-12-14T00:00:00"/>
    <d v="2026-02-03T00:00:00"/>
  </r>
  <r>
    <n v="325"/>
    <x v="13"/>
    <x v="308"/>
    <x v="8"/>
    <s v="Lausanne"/>
    <s v="Health care"/>
    <s v="Healthcare"/>
    <x v="0"/>
    <x v="0"/>
    <x v="259"/>
    <x v="245"/>
    <x v="152"/>
    <n v="1950"/>
    <n v="10"/>
    <n v="30"/>
    <n v="99.55"/>
    <n v="703082435360"/>
    <n v="83.6"/>
    <n v="10.1"/>
    <n v="28.8"/>
    <n v="8574832"/>
    <x v="296"/>
    <d v="1950-10-30T00:00:00"/>
    <d v="2026-02-03T00:00:00"/>
  </r>
  <r>
    <n v="325"/>
    <x v="3"/>
    <x v="309"/>
    <x v="21"/>
    <s v="Singapore"/>
    <s v="Banking"/>
    <s v="Finance &amp; Investments"/>
    <x v="0"/>
    <x v="0"/>
    <x v="260"/>
    <x v="246"/>
    <x v="152"/>
    <n v="1929"/>
    <n v="1"/>
    <n v="10"/>
    <n v="114.41"/>
    <n v="372062527489"/>
    <n v="83.1"/>
    <n v="13.1"/>
    <n v="21"/>
    <n v="5703569"/>
    <x v="297"/>
    <d v="1929-01-10T00:00:00"/>
    <d v="2026-02-03T00:00:00"/>
  </r>
  <r>
    <n v="325"/>
    <x v="10"/>
    <x v="310"/>
    <x v="5"/>
    <s v="Ningbo"/>
    <s v="Electronics"/>
    <s v="Manufacturing"/>
    <x v="1"/>
    <x v="0"/>
    <x v="22"/>
    <x v="247"/>
    <x v="152"/>
    <n v="1952"/>
    <n v="1"/>
    <n v="1"/>
    <n v="125.08"/>
    <n v="19910000000000"/>
    <n v="77"/>
    <n v="9.4"/>
    <n v="59.2"/>
    <n v="1397715000"/>
    <x v="276"/>
    <d v="1952-01-01T00:00:00"/>
    <d v="2026-02-03T00:00:00"/>
  </r>
  <r>
    <n v="332"/>
    <x v="2"/>
    <x v="311"/>
    <x v="1"/>
    <s v="San Francisco"/>
    <s v="Business software"/>
    <s v="Technology"/>
    <x v="1"/>
    <x v="0"/>
    <x v="261"/>
    <x v="248"/>
    <x v="153"/>
    <n v="1964"/>
    <n v="9"/>
    <n v="25"/>
    <n v="117.24"/>
    <n v="21427700000000"/>
    <n v="78.5"/>
    <n v="9.6"/>
    <n v="36.6"/>
    <n v="328239523"/>
    <x v="298"/>
    <d v="1964-09-25T00:00:00"/>
    <d v="2026-02-03T00:00:00"/>
  </r>
  <r>
    <n v="332"/>
    <x v="4"/>
    <x v="312"/>
    <x v="12"/>
    <s v="London"/>
    <s v="Online games"/>
    <s v="Media &amp; Entertainment"/>
    <x v="1"/>
    <x v="0"/>
    <x v="262"/>
    <x v="249"/>
    <x v="153"/>
    <n v="1985"/>
    <n v="5"/>
    <n v="27"/>
    <n v="119.62"/>
    <n v="2827113184696"/>
    <n v="81.3"/>
    <n v="25.5"/>
    <n v="30.6"/>
    <n v="66834405"/>
    <x v="299"/>
    <d v="1985-05-27T00:00:00"/>
    <d v="2026-02-03T00:00:00"/>
  </r>
  <r>
    <n v="332"/>
    <x v="4"/>
    <x v="313"/>
    <x v="12"/>
    <s v="London"/>
    <s v="Online games"/>
    <s v="Media &amp; Entertainment"/>
    <x v="1"/>
    <x v="0"/>
    <x v="262"/>
    <x v="250"/>
    <x v="153"/>
    <n v="1982"/>
    <n v="3"/>
    <n v="29"/>
    <n v="119.62"/>
    <n v="2827113184696"/>
    <n v="81.3"/>
    <n v="25.5"/>
    <n v="30.6"/>
    <n v="66834405"/>
    <x v="300"/>
    <d v="1982-03-29T00:00:00"/>
    <d v="2026-02-03T00:00:00"/>
  </r>
  <r>
    <n v="332"/>
    <x v="2"/>
    <x v="314"/>
    <x v="1"/>
    <s v="Redlands"/>
    <s v="Mapping software"/>
    <s v="Technology"/>
    <x v="1"/>
    <x v="0"/>
    <x v="263"/>
    <x v="55"/>
    <x v="153"/>
    <n v="1945"/>
    <n v="7"/>
    <n v="23"/>
    <n v="117.24"/>
    <n v="21427700000000"/>
    <n v="78.5"/>
    <n v="9.6"/>
    <n v="36.6"/>
    <n v="328239523"/>
    <x v="301"/>
    <d v="1945-07-23T00:00:00"/>
    <d v="2026-02-03T00:00:00"/>
  </r>
  <r>
    <n v="332"/>
    <x v="10"/>
    <x v="315"/>
    <x v="3"/>
    <s v="Mumbai"/>
    <s v="Paints"/>
    <s v="Manufacturing"/>
    <x v="0"/>
    <x v="0"/>
    <x v="264"/>
    <x v="251"/>
    <x v="153"/>
    <n v="1942"/>
    <n v="10"/>
    <n v="24"/>
    <n v="180.44"/>
    <n v="2611000000000"/>
    <n v="69.400000000000006"/>
    <n v="11.2"/>
    <n v="49.7"/>
    <n v="1366417754"/>
    <x v="302"/>
    <d v="1942-10-24T00:00:00"/>
    <d v="2026-02-03T00:00:00"/>
  </r>
  <r>
    <n v="332"/>
    <x v="0"/>
    <x v="316"/>
    <x v="1"/>
    <s v="New York"/>
    <s v="Apparel"/>
    <s v="Fashion &amp; Retail"/>
    <x v="1"/>
    <x v="0"/>
    <x v="265"/>
    <x v="252"/>
    <x v="153"/>
    <n v="1939"/>
    <n v="10"/>
    <n v="14"/>
    <n v="117.24"/>
    <n v="21427700000000"/>
    <n v="78.5"/>
    <n v="9.6"/>
    <n v="36.6"/>
    <n v="328239523"/>
    <x v="303"/>
    <d v="1939-10-14T00:00:00"/>
    <d v="2026-02-03T00:00:00"/>
  </r>
  <r>
    <n v="332"/>
    <x v="6"/>
    <x v="317"/>
    <x v="3"/>
    <s v="Mumbai"/>
    <s v="Diversified"/>
    <s v="Diversified"/>
    <x v="0"/>
    <x v="1"/>
    <x v="266"/>
    <x v="253"/>
    <x v="153"/>
    <n v="1967"/>
    <n v="6"/>
    <n v="6"/>
    <n v="180.44"/>
    <n v="2611000000000"/>
    <n v="69.400000000000006"/>
    <n v="11.2"/>
    <n v="49.7"/>
    <n v="1366417754"/>
    <x v="304"/>
    <d v="1967-06-06T00:00:00"/>
    <d v="2026-02-03T00:00:00"/>
  </r>
  <r>
    <n v="332"/>
    <x v="6"/>
    <x v="318"/>
    <x v="3"/>
    <s v="Mumbai"/>
    <s v="Diversified"/>
    <s v="Diversified"/>
    <x v="0"/>
    <x v="0"/>
    <x v="266"/>
    <x v="254"/>
    <x v="153"/>
    <n v="1964"/>
    <n v="9"/>
    <n v="6"/>
    <n v="180.44"/>
    <n v="2611000000000"/>
    <n v="69.400000000000006"/>
    <n v="11.2"/>
    <n v="49.7"/>
    <n v="1366417754"/>
    <x v="305"/>
    <d v="1964-09-06T00:00:00"/>
    <d v="2026-02-03T00:00:00"/>
  </r>
  <r>
    <n v="332"/>
    <x v="7"/>
    <x v="319"/>
    <x v="1"/>
    <s v="Hobe Sound"/>
    <s v="Food distribution"/>
    <s v="Food &amp; Beverage"/>
    <x v="1"/>
    <x v="0"/>
    <x v="267"/>
    <x v="255"/>
    <x v="153"/>
    <n v="1953"/>
    <n v="12"/>
    <n v="29"/>
    <n v="117.24"/>
    <n v="21427700000000"/>
    <n v="78.5"/>
    <n v="9.6"/>
    <n v="36.6"/>
    <n v="328239523"/>
    <x v="306"/>
    <d v="1953-12-29T00:00:00"/>
    <d v="2026-02-03T00:00:00"/>
  </r>
  <r>
    <n v="332"/>
    <x v="7"/>
    <x v="320"/>
    <x v="1"/>
    <s v="Palm Beach"/>
    <s v="Food distribution"/>
    <s v="Food &amp; Beverage"/>
    <x v="1"/>
    <x v="0"/>
    <x v="267"/>
    <x v="256"/>
    <x v="153"/>
    <n v="1955"/>
    <n v="9"/>
    <n v="16"/>
    <n v="117.24"/>
    <n v="21427700000000"/>
    <n v="78.5"/>
    <n v="9.6"/>
    <n v="36.6"/>
    <n v="328239523"/>
    <x v="307"/>
    <d v="1955-09-16T00:00:00"/>
    <d v="2026-02-03T00:00:00"/>
  </r>
  <r>
    <n v="332"/>
    <x v="7"/>
    <x v="321"/>
    <x v="1"/>
    <s v="Port Washington"/>
    <s v="Beverages"/>
    <s v="Food &amp; Beverage"/>
    <x v="1"/>
    <x v="0"/>
    <x v="268"/>
    <x v="239"/>
    <x v="153"/>
    <n v="1952"/>
    <n v="2"/>
    <n v="26"/>
    <n v="117.24"/>
    <n v="21427700000000"/>
    <n v="78.5"/>
    <n v="9.6"/>
    <n v="36.6"/>
    <n v="328239523"/>
    <x v="308"/>
    <d v="1952-02-26T00:00:00"/>
    <d v="2026-02-03T00:00:00"/>
  </r>
  <r>
    <n v="344"/>
    <x v="6"/>
    <x v="322"/>
    <x v="1"/>
    <s v="Los Angeles"/>
    <s v="Homebuilding, insurance"/>
    <s v="Diversified"/>
    <x v="0"/>
    <x v="1"/>
    <x v="269"/>
    <x v="257"/>
    <x v="154"/>
    <n v="1936"/>
    <n v="1"/>
    <n v="1"/>
    <n v="117.24"/>
    <n v="21427700000000"/>
    <n v="78.5"/>
    <n v="9.6"/>
    <n v="36.6"/>
    <n v="328239523"/>
    <x v="309"/>
    <d v="1936-01-01T00:00:00"/>
    <d v="2026-02-03T00:00:00"/>
  </r>
  <r>
    <n v="344"/>
    <x v="7"/>
    <x v="323"/>
    <x v="1"/>
    <s v="St. Louis"/>
    <s v="Cargill"/>
    <s v="Food &amp; Beverage"/>
    <x v="0"/>
    <x v="1"/>
    <x v="270"/>
    <x v="258"/>
    <x v="154"/>
    <n v="1934"/>
    <n v="1"/>
    <n v="1"/>
    <n v="117.24"/>
    <n v="21427700000000"/>
    <n v="78.5"/>
    <n v="9.6"/>
    <n v="36.6"/>
    <n v="328239523"/>
    <x v="310"/>
    <d v="1934-01-01T00:00:00"/>
    <d v="2026-02-03T00:00:00"/>
  </r>
  <r>
    <n v="344"/>
    <x v="3"/>
    <x v="324"/>
    <x v="1"/>
    <s v="New York"/>
    <s v="Hedge fund"/>
    <s v="Finance &amp; Investments"/>
    <x v="1"/>
    <x v="0"/>
    <x v="271"/>
    <x v="259"/>
    <x v="154"/>
    <n v="1967"/>
    <n v="9"/>
    <n v="16"/>
    <n v="117.24"/>
    <n v="21427700000000"/>
    <n v="78.5"/>
    <n v="9.6"/>
    <n v="36.6"/>
    <n v="328239523"/>
    <x v="311"/>
    <d v="1967-09-16T00:00:00"/>
    <d v="2026-02-03T00:00:00"/>
  </r>
  <r>
    <n v="344"/>
    <x v="2"/>
    <x v="325"/>
    <x v="5"/>
    <s v="Huizhou"/>
    <s v="Lithium batteries"/>
    <s v="Technology"/>
    <x v="1"/>
    <x v="0"/>
    <x v="125"/>
    <x v="260"/>
    <x v="154"/>
    <n v="1964"/>
    <n v="9"/>
    <n v="22"/>
    <n v="125.08"/>
    <n v="19910000000000"/>
    <n v="77"/>
    <n v="9.4"/>
    <n v="59.2"/>
    <n v="1397715000"/>
    <x v="312"/>
    <d v="1964-09-22T00:00:00"/>
    <d v="2026-02-03T00:00:00"/>
  </r>
  <r>
    <n v="344"/>
    <x v="15"/>
    <x v="326"/>
    <x v="1"/>
    <s v="Lighthouse Point"/>
    <s v="Real estate"/>
    <s v="Real Estate"/>
    <x v="1"/>
    <x v="0"/>
    <x v="272"/>
    <x v="250"/>
    <x v="154"/>
    <n v="1942"/>
    <n v="9"/>
    <n v="20"/>
    <n v="117.24"/>
    <n v="21427700000000"/>
    <n v="78.5"/>
    <n v="9.6"/>
    <n v="36.6"/>
    <n v="328239523"/>
    <x v="313"/>
    <d v="1942-09-20T00:00:00"/>
    <d v="2026-02-03T00:00:00"/>
  </r>
  <r>
    <n v="344"/>
    <x v="0"/>
    <x v="327"/>
    <x v="4"/>
    <s v="La Coruna"/>
    <s v="Zara"/>
    <s v="Fashion &amp; Retail"/>
    <x v="0"/>
    <x v="1"/>
    <x v="273"/>
    <x v="261"/>
    <x v="154"/>
    <n v="1968"/>
    <n v="7"/>
    <n v="9"/>
    <n v="110.96"/>
    <n v="1394116310769"/>
    <n v="83.3"/>
    <n v="14.2"/>
    <n v="47"/>
    <n v="47076781"/>
    <x v="314"/>
    <d v="1968-07-09T00:00:00"/>
    <d v="2026-02-03T00:00:00"/>
  </r>
  <r>
    <n v="344"/>
    <x v="13"/>
    <x v="328"/>
    <x v="1"/>
    <s v="Portage"/>
    <s v="Medical equipment"/>
    <s v="Healthcare"/>
    <x v="0"/>
    <x v="1"/>
    <x v="274"/>
    <x v="262"/>
    <x v="154"/>
    <n v="1954"/>
    <n v="5"/>
    <n v="1"/>
    <n v="117.24"/>
    <n v="21427700000000"/>
    <n v="78.5"/>
    <n v="9.6"/>
    <n v="36.6"/>
    <n v="328239523"/>
    <x v="315"/>
    <d v="1954-05-01T00:00:00"/>
    <d v="2026-02-03T00:00:00"/>
  </r>
  <r>
    <n v="352"/>
    <x v="12"/>
    <x v="329"/>
    <x v="1"/>
    <s v="Houston"/>
    <s v="Pipelines"/>
    <s v="Energy"/>
    <x v="0"/>
    <x v="1"/>
    <x v="275"/>
    <x v="263"/>
    <x v="155"/>
    <n v="1964"/>
    <n v="3"/>
    <n v="9"/>
    <n v="117.24"/>
    <n v="21427700000000"/>
    <n v="78.5"/>
    <n v="9.6"/>
    <n v="36.6"/>
    <n v="328239523"/>
    <x v="316"/>
    <d v="1964-03-09T00:00:00"/>
    <d v="2026-02-03T00:00:00"/>
  </r>
  <r>
    <n v="352"/>
    <x v="6"/>
    <x v="330"/>
    <x v="24"/>
    <s v="Milan"/>
    <s v="Media"/>
    <s v="Diversified"/>
    <x v="1"/>
    <x v="0"/>
    <x v="276"/>
    <x v="264"/>
    <x v="155"/>
    <n v="1936"/>
    <n v="9"/>
    <n v="29"/>
    <n v="110.62"/>
    <n v="2001244392042"/>
    <n v="82.9"/>
    <n v="24.3"/>
    <n v="59.1"/>
    <n v="60297396"/>
    <x v="317"/>
    <d v="1936-09-29T00:00:00"/>
    <d v="2026-02-03T00:00:00"/>
  </r>
  <r>
    <n v="352"/>
    <x v="9"/>
    <x v="331"/>
    <x v="12"/>
    <s v="Stoke-on-Trent"/>
    <s v="Online gambling"/>
    <s v="Gambling &amp; Casinos"/>
    <x v="1"/>
    <x v="1"/>
    <x v="277"/>
    <x v="265"/>
    <x v="155"/>
    <n v="1967"/>
    <n v="9"/>
    <n v="26"/>
    <n v="119.62"/>
    <n v="2827113184696"/>
    <n v="81.3"/>
    <n v="25.5"/>
    <n v="30.6"/>
    <n v="66834405"/>
    <x v="318"/>
    <d v="1967-09-26T00:00:00"/>
    <d v="2026-02-03T00:00:00"/>
  </r>
  <r>
    <n v="352"/>
    <x v="12"/>
    <x v="332"/>
    <x v="1"/>
    <s v="Houston"/>
    <s v="Pipelines"/>
    <s v="Energy"/>
    <x v="0"/>
    <x v="0"/>
    <x v="278"/>
    <x v="141"/>
    <x v="155"/>
    <n v="1982"/>
    <n v="11"/>
    <n v="1"/>
    <n v="117.24"/>
    <n v="21427700000000"/>
    <n v="78.5"/>
    <n v="9.6"/>
    <n v="36.6"/>
    <n v="328239523"/>
    <x v="319"/>
    <d v="1982-11-01T00:00:00"/>
    <d v="2026-02-03T00:00:00"/>
  </r>
  <r>
    <n v="352"/>
    <x v="12"/>
    <x v="333"/>
    <x v="1"/>
    <s v="Houston"/>
    <s v="Pipelines"/>
    <s v="Energy"/>
    <x v="0"/>
    <x v="1"/>
    <x v="279"/>
    <x v="266"/>
    <x v="155"/>
    <n v="1969"/>
    <n v="8"/>
    <n v="12"/>
    <n v="117.24"/>
    <n v="21427700000000"/>
    <n v="78.5"/>
    <n v="9.6"/>
    <n v="36.6"/>
    <n v="328239523"/>
    <x v="320"/>
    <d v="1969-08-12T00:00:00"/>
    <d v="2026-02-03T00:00:00"/>
  </r>
  <r>
    <n v="352"/>
    <x v="3"/>
    <x v="334"/>
    <x v="1"/>
    <s v="Boston"/>
    <s v="Fidelity"/>
    <s v="Finance &amp; Investments"/>
    <x v="0"/>
    <x v="0"/>
    <x v="62"/>
    <x v="267"/>
    <x v="155"/>
    <n v="1964"/>
    <n v="11"/>
    <n v="18"/>
    <n v="117.24"/>
    <n v="21427700000000"/>
    <n v="78.5"/>
    <n v="9.6"/>
    <n v="36.6"/>
    <n v="328239523"/>
    <x v="321"/>
    <d v="1964-11-18T00:00:00"/>
    <d v="2026-02-03T00:00:00"/>
  </r>
  <r>
    <n v="352"/>
    <x v="3"/>
    <x v="335"/>
    <x v="1"/>
    <s v="Los Altos"/>
    <s v="Tech investments"/>
    <s v="Finance &amp; Investments"/>
    <x v="1"/>
    <x v="0"/>
    <x v="280"/>
    <x v="268"/>
    <x v="155"/>
    <n v="1961"/>
    <n v="11"/>
    <n v="11"/>
    <n v="117.24"/>
    <n v="21427700000000"/>
    <n v="78.5"/>
    <n v="9.6"/>
    <n v="36.6"/>
    <n v="328239523"/>
    <x v="322"/>
    <d v="1961-11-11T00:00:00"/>
    <d v="2026-02-03T00:00:00"/>
  </r>
  <r>
    <n v="352"/>
    <x v="2"/>
    <x v="336"/>
    <x v="1"/>
    <s v="Woodside"/>
    <s v="Intel"/>
    <s v="Technology"/>
    <x v="1"/>
    <x v="0"/>
    <x v="281"/>
    <x v="269"/>
    <x v="155"/>
    <n v="1929"/>
    <n v="1"/>
    <n v="3"/>
    <n v="117.24"/>
    <n v="21427700000000"/>
    <n v="78.5"/>
    <n v="9.6"/>
    <n v="36.6"/>
    <n v="328239523"/>
    <x v="323"/>
    <d v="1929-01-03T00:00:00"/>
    <d v="2026-02-03T00:00:00"/>
  </r>
  <r>
    <n v="352"/>
    <x v="3"/>
    <x v="337"/>
    <x v="1"/>
    <s v="Millburn"/>
    <s v="Hedge funds"/>
    <s v="Finance &amp; Investments"/>
    <x v="1"/>
    <x v="0"/>
    <x v="282"/>
    <x v="29"/>
    <x v="155"/>
    <n v="1969"/>
    <n v="12"/>
    <n v="21"/>
    <n v="117.24"/>
    <n v="21427700000000"/>
    <n v="78.5"/>
    <n v="9.6"/>
    <n v="36.6"/>
    <n v="328239523"/>
    <x v="324"/>
    <d v="1969-12-21T00:00:00"/>
    <d v="2026-02-03T00:00:00"/>
  </r>
  <r>
    <n v="352"/>
    <x v="3"/>
    <x v="338"/>
    <x v="1"/>
    <s v="Scarsdale"/>
    <s v="Hedge funds"/>
    <s v="Finance &amp; Investments"/>
    <x v="1"/>
    <x v="0"/>
    <x v="283"/>
    <x v="20"/>
    <x v="155"/>
    <n v="1961"/>
    <n v="7"/>
    <n v="15"/>
    <n v="117.24"/>
    <n v="21427700000000"/>
    <n v="78.5"/>
    <n v="9.6"/>
    <n v="36.6"/>
    <n v="328239523"/>
    <x v="325"/>
    <d v="1961-07-15T00:00:00"/>
    <d v="2026-02-03T00:00:00"/>
  </r>
  <r>
    <n v="352"/>
    <x v="6"/>
    <x v="339"/>
    <x v="16"/>
    <s v="Moscow"/>
    <s v="Metals, investments"/>
    <s v="Diversified"/>
    <x v="1"/>
    <x v="0"/>
    <x v="284"/>
    <x v="137"/>
    <x v="155"/>
    <n v="1957"/>
    <n v="4"/>
    <n v="14"/>
    <n v="180.75"/>
    <n v="1699876578871"/>
    <n v="72.7"/>
    <n v="11.4"/>
    <n v="46.2"/>
    <n v="144373535"/>
    <x v="326"/>
    <d v="1957-04-14T00:00:00"/>
    <d v="2026-02-03T00:00:00"/>
  </r>
  <r>
    <n v="352"/>
    <x v="2"/>
    <x v="340"/>
    <x v="5"/>
    <s v="Shenzhen"/>
    <s v="Electronics components"/>
    <s v="Technology"/>
    <x v="1"/>
    <x v="0"/>
    <x v="64"/>
    <x v="270"/>
    <x v="155"/>
    <n v="1964"/>
    <n v="12"/>
    <n v="14"/>
    <n v="125.08"/>
    <n v="19910000000000"/>
    <n v="77"/>
    <n v="9.4"/>
    <n v="59.2"/>
    <n v="1397715000"/>
    <x v="327"/>
    <d v="1964-12-14T00:00:00"/>
    <d v="2026-02-03T00:00:00"/>
  </r>
  <r>
    <n v="352"/>
    <x v="12"/>
    <x v="341"/>
    <x v="1"/>
    <s v="Houston"/>
    <s v="Pipelines"/>
    <s v="Energy"/>
    <x v="0"/>
    <x v="1"/>
    <x v="285"/>
    <x v="271"/>
    <x v="155"/>
    <n v="1961"/>
    <n v="8"/>
    <n v="28"/>
    <n v="117.24"/>
    <n v="21427700000000"/>
    <n v="78.5"/>
    <n v="9.6"/>
    <n v="36.6"/>
    <n v="328239523"/>
    <x v="328"/>
    <d v="1961-08-28T00:00:00"/>
    <d v="2026-02-03T00:00:00"/>
  </r>
  <r>
    <n v="365"/>
    <x v="3"/>
    <x v="342"/>
    <x v="1"/>
    <s v="Dallas"/>
    <s v="Money management"/>
    <s v="Finance &amp; Investments"/>
    <x v="1"/>
    <x v="0"/>
    <x v="286"/>
    <x v="32"/>
    <x v="156"/>
    <n v="1950"/>
    <n v="11"/>
    <n v="29"/>
    <n v="117.24"/>
    <n v="21427700000000"/>
    <n v="78.5"/>
    <n v="9.6"/>
    <n v="36.6"/>
    <n v="328239523"/>
    <x v="329"/>
    <d v="1950-11-29T00:00:00"/>
    <d v="2026-02-03T00:00:00"/>
  </r>
  <r>
    <n v="365"/>
    <x v="3"/>
    <x v="343"/>
    <x v="12"/>
    <s v="London"/>
    <s v="Hedge funds"/>
    <s v="Finance &amp; Investments"/>
    <x v="1"/>
    <x v="0"/>
    <x v="287"/>
    <x v="272"/>
    <x v="156"/>
    <n v="1966"/>
    <n v="10"/>
    <n v="27"/>
    <n v="119.62"/>
    <n v="2827113184696"/>
    <n v="81.3"/>
    <n v="25.5"/>
    <n v="30.6"/>
    <n v="66834405"/>
    <x v="330"/>
    <d v="1966-10-27T00:00:00"/>
    <d v="2026-02-03T00:00:00"/>
  </r>
  <r>
    <n v="365"/>
    <x v="10"/>
    <x v="344"/>
    <x v="33"/>
    <s v="Billund"/>
    <s v="Lego"/>
    <s v="Manufacturing"/>
    <x v="0"/>
    <x v="0"/>
    <x v="288"/>
    <x v="273"/>
    <x v="156"/>
    <n v="1947"/>
    <n v="12"/>
    <n v="27"/>
    <n v="110.35"/>
    <n v="348078018464"/>
    <n v="81"/>
    <n v="32.4"/>
    <n v="23.8"/>
    <n v="5818553"/>
    <x v="331"/>
    <d v="1947-12-27T00:00:00"/>
    <d v="2026-02-03T00:00:00"/>
  </r>
  <r>
    <n v="365"/>
    <x v="10"/>
    <x v="345"/>
    <x v="33"/>
    <s v="Billund"/>
    <s v="Lego"/>
    <s v="Manufacturing"/>
    <x v="0"/>
    <x v="1"/>
    <x v="288"/>
    <x v="274"/>
    <x v="156"/>
    <n v="1976"/>
    <n v="1"/>
    <n v="1"/>
    <n v="110.35"/>
    <n v="348078018464"/>
    <n v="81"/>
    <n v="32.4"/>
    <n v="23.8"/>
    <n v="5818553"/>
    <x v="332"/>
    <d v="1976-01-01T00:00:00"/>
    <d v="2026-02-03T00:00:00"/>
  </r>
  <r>
    <n v="365"/>
    <x v="10"/>
    <x v="346"/>
    <x v="33"/>
    <s v="Billund"/>
    <s v="Lego"/>
    <s v="Manufacturing"/>
    <x v="0"/>
    <x v="0"/>
    <x v="288"/>
    <x v="275"/>
    <x v="156"/>
    <n v="1979"/>
    <n v="1"/>
    <n v="1"/>
    <n v="110.35"/>
    <n v="348078018464"/>
    <n v="81"/>
    <n v="32.4"/>
    <n v="23.8"/>
    <n v="5818553"/>
    <x v="333"/>
    <d v="1979-01-01T00:00:00"/>
    <d v="2026-02-03T00:00:00"/>
  </r>
  <r>
    <n v="365"/>
    <x v="13"/>
    <x v="347"/>
    <x v="24"/>
    <s v="Fiesole"/>
    <s v="Pharmaceuticals"/>
    <s v="Healthcare"/>
    <x v="0"/>
    <x v="1"/>
    <x v="289"/>
    <x v="276"/>
    <x v="156"/>
    <n v="1943"/>
    <n v="1"/>
    <n v="1"/>
    <n v="110.62"/>
    <n v="2001244392042"/>
    <n v="82.9"/>
    <n v="24.3"/>
    <n v="59.1"/>
    <n v="60297396"/>
    <x v="62"/>
    <d v="1943-01-01T00:00:00"/>
    <d v="2026-02-03T00:00:00"/>
  </r>
  <r>
    <n v="365"/>
    <x v="1"/>
    <x v="348"/>
    <x v="5"/>
    <s v="Ningde"/>
    <s v="Batteries"/>
    <s v="Automotive"/>
    <x v="1"/>
    <x v="0"/>
    <x v="72"/>
    <x v="277"/>
    <x v="156"/>
    <n v="1968"/>
    <n v="1"/>
    <n v="1"/>
    <n v="125.08"/>
    <n v="19910000000000"/>
    <n v="77"/>
    <n v="9.4"/>
    <n v="59.2"/>
    <n v="1397715000"/>
    <x v="220"/>
    <d v="1968-01-01T00:00:00"/>
    <d v="2026-02-03T00:00:00"/>
  </r>
  <r>
    <n v="365"/>
    <x v="10"/>
    <x v="349"/>
    <x v="5"/>
    <s v="Hangzhou"/>
    <s v="Solar panel components"/>
    <s v="Manufacturing"/>
    <x v="1"/>
    <x v="0"/>
    <x v="290"/>
    <x v="182"/>
    <x v="156"/>
    <n v="1962"/>
    <n v="8"/>
    <n v="1"/>
    <n v="125.08"/>
    <n v="19910000000000"/>
    <n v="77"/>
    <n v="9.4"/>
    <n v="59.2"/>
    <n v="1397715000"/>
    <x v="334"/>
    <d v="1962-08-01T00:00:00"/>
    <d v="2026-02-03T00:00:00"/>
  </r>
  <r>
    <n v="365"/>
    <x v="10"/>
    <x v="350"/>
    <x v="8"/>
    <s v="Feldmeilen"/>
    <s v="Chemicals"/>
    <s v="Manufacturing"/>
    <x v="0"/>
    <x v="1"/>
    <x v="291"/>
    <x v="278"/>
    <x v="156"/>
    <n v="1969"/>
    <n v="1"/>
    <n v="1"/>
    <n v="99.55"/>
    <n v="703082435360"/>
    <n v="83.6"/>
    <n v="10.1"/>
    <n v="28.8"/>
    <n v="8574832"/>
    <x v="36"/>
    <d v="1969-01-01T00:00:00"/>
    <d v="2026-02-03T00:00:00"/>
  </r>
  <r>
    <n v="365"/>
    <x v="5"/>
    <x v="351"/>
    <x v="0"/>
    <s v="Paris"/>
    <s v="Internet, telecom"/>
    <s v="Telecom"/>
    <x v="1"/>
    <x v="0"/>
    <x v="292"/>
    <x v="279"/>
    <x v="156"/>
    <n v="1967"/>
    <n v="8"/>
    <n v="25"/>
    <n v="110.05"/>
    <n v="2715518274227"/>
    <n v="82.5"/>
    <n v="24.2"/>
    <n v="60.7"/>
    <n v="67059887"/>
    <x v="335"/>
    <d v="1967-08-25T00:00:00"/>
    <d v="2026-02-03T00:00:00"/>
  </r>
  <r>
    <n v="365"/>
    <x v="12"/>
    <x v="352"/>
    <x v="1"/>
    <s v="Boca Raton"/>
    <s v="Natural gas"/>
    <s v="Energy"/>
    <x v="1"/>
    <x v="0"/>
    <x v="293"/>
    <x v="280"/>
    <x v="156"/>
    <n v="1951"/>
    <n v="3"/>
    <n v="27"/>
    <n v="117.24"/>
    <n v="21427700000000"/>
    <n v="78.5"/>
    <n v="9.6"/>
    <n v="36.6"/>
    <n v="328239523"/>
    <x v="336"/>
    <d v="1951-03-27T00:00:00"/>
    <d v="2026-02-03T00:00:00"/>
  </r>
  <r>
    <n v="365"/>
    <x v="15"/>
    <x v="353"/>
    <x v="1"/>
    <s v="Los Angeles"/>
    <s v="Real estate"/>
    <s v="Real Estate"/>
    <x v="0"/>
    <x v="0"/>
    <x v="294"/>
    <x v="267"/>
    <x v="156"/>
    <n v="1938"/>
    <n v="12"/>
    <n v="25"/>
    <n v="117.24"/>
    <n v="21427700000000"/>
    <n v="78.5"/>
    <n v="9.6"/>
    <n v="36.6"/>
    <n v="328239523"/>
    <x v="337"/>
    <d v="1938-12-25T00:00:00"/>
    <d v="2026-02-03T00:00:00"/>
  </r>
  <r>
    <n v="365"/>
    <x v="15"/>
    <x v="354"/>
    <x v="1"/>
    <s v="Atherton"/>
    <s v="Real estate"/>
    <s v="Real Estate"/>
    <x v="1"/>
    <x v="0"/>
    <x v="295"/>
    <x v="281"/>
    <x v="156"/>
    <n v="1939"/>
    <n v="5"/>
    <n v="23"/>
    <n v="117.24"/>
    <n v="21427700000000"/>
    <n v="78.5"/>
    <n v="9.6"/>
    <n v="36.6"/>
    <n v="328239523"/>
    <x v="338"/>
    <d v="1939-05-23T00:00:00"/>
    <d v="2026-02-03T00:00:00"/>
  </r>
  <r>
    <n v="365"/>
    <x v="3"/>
    <x v="355"/>
    <x v="1"/>
    <s v="Katonah"/>
    <s v="Hedge funds"/>
    <s v="Finance &amp; Investments"/>
    <x v="1"/>
    <x v="0"/>
    <x v="296"/>
    <x v="108"/>
    <x v="156"/>
    <n v="1930"/>
    <n v="8"/>
    <n v="12"/>
    <n v="117.24"/>
    <n v="21427700000000"/>
    <n v="78.5"/>
    <n v="9.6"/>
    <n v="36.6"/>
    <n v="328239523"/>
    <x v="339"/>
    <d v="1930-08-12T00:00:00"/>
    <d v="2026-02-03T00:00:00"/>
  </r>
  <r>
    <n v="365"/>
    <x v="2"/>
    <x v="356"/>
    <x v="1"/>
    <s v="Irvine"/>
    <s v="Computer hardware"/>
    <s v="Technology"/>
    <x v="1"/>
    <x v="0"/>
    <x v="161"/>
    <x v="20"/>
    <x v="156"/>
    <n v="1951"/>
    <n v="10"/>
    <n v="12"/>
    <n v="117.24"/>
    <n v="21427700000000"/>
    <n v="78.5"/>
    <n v="9.6"/>
    <n v="36.6"/>
    <n v="328239523"/>
    <x v="340"/>
    <d v="1951-10-12T00:00:00"/>
    <d v="2026-02-03T00:00:00"/>
  </r>
  <r>
    <n v="365"/>
    <x v="10"/>
    <x v="357"/>
    <x v="33"/>
    <s v="Billund"/>
    <s v="Lego"/>
    <s v="Manufacturing"/>
    <x v="0"/>
    <x v="1"/>
    <x v="297"/>
    <x v="282"/>
    <x v="156"/>
    <n v="1983"/>
    <n v="5"/>
    <n v="18"/>
    <n v="110.35"/>
    <n v="348078018464"/>
    <n v="81"/>
    <n v="32.4"/>
    <n v="23.8"/>
    <n v="5818553"/>
    <x v="341"/>
    <d v="1983-05-18T00:00:00"/>
    <d v="2026-02-03T00:00:00"/>
  </r>
  <r>
    <n v="365"/>
    <x v="2"/>
    <x v="358"/>
    <x v="1"/>
    <s v="Rolling Hills"/>
    <s v="Computer hardware"/>
    <s v="Technology"/>
    <x v="1"/>
    <x v="0"/>
    <x v="298"/>
    <x v="29"/>
    <x v="156"/>
    <n v="1941"/>
    <n v="8"/>
    <n v="12"/>
    <n v="117.24"/>
    <n v="21427700000000"/>
    <n v="78.5"/>
    <n v="9.6"/>
    <n v="36.6"/>
    <n v="328239523"/>
    <x v="163"/>
    <d v="1941-08-12T00:00:00"/>
    <d v="2026-02-03T00:00:00"/>
  </r>
  <r>
    <n v="365"/>
    <x v="7"/>
    <x v="359"/>
    <x v="5"/>
    <s v="Quanzhou"/>
    <s v="Snacks, beverages"/>
    <s v="Food &amp; Beverage"/>
    <x v="1"/>
    <x v="0"/>
    <x v="100"/>
    <x v="283"/>
    <x v="156"/>
    <n v="1958"/>
    <n v="1"/>
    <n v="1"/>
    <n v="125.08"/>
    <n v="19910000000000"/>
    <n v="77"/>
    <n v="9.4"/>
    <n v="59.2"/>
    <n v="1397715000"/>
    <x v="342"/>
    <d v="1958-01-01T00:00:00"/>
    <d v="2026-02-03T00:00:00"/>
  </r>
  <r>
    <n v="383"/>
    <x v="10"/>
    <x v="360"/>
    <x v="8"/>
    <s v="Wilen bei Wollerau"/>
    <s v="Chemicals"/>
    <s v="Manufacturing"/>
    <x v="0"/>
    <x v="1"/>
    <x v="299"/>
    <x v="284"/>
    <x v="157"/>
    <n v="1976"/>
    <n v="1"/>
    <n v="1"/>
    <n v="99.55"/>
    <n v="703082435360"/>
    <n v="83.6"/>
    <n v="10.1"/>
    <n v="28.8"/>
    <n v="8574832"/>
    <x v="332"/>
    <d v="1976-01-01T00:00:00"/>
    <d v="2026-02-03T00:00:00"/>
  </r>
  <r>
    <n v="383"/>
    <x v="7"/>
    <x v="361"/>
    <x v="1"/>
    <s v="Atlanta"/>
    <s v="Chick-fil-A"/>
    <s v="Food &amp; Beverage"/>
    <x v="0"/>
    <x v="0"/>
    <x v="300"/>
    <x v="285"/>
    <x v="157"/>
    <n v="1954"/>
    <n v="4"/>
    <n v="22"/>
    <n v="117.24"/>
    <n v="21427700000000"/>
    <n v="78.5"/>
    <n v="9.6"/>
    <n v="36.6"/>
    <n v="328239523"/>
    <x v="343"/>
    <d v="1954-04-22T00:00:00"/>
    <d v="2026-02-03T00:00:00"/>
  </r>
  <r>
    <n v="383"/>
    <x v="7"/>
    <x v="362"/>
    <x v="1"/>
    <s v="Atlanta"/>
    <s v="Chick-fil-A"/>
    <s v="Food &amp; Beverage"/>
    <x v="0"/>
    <x v="0"/>
    <x v="300"/>
    <x v="286"/>
    <x v="157"/>
    <n v="1953"/>
    <n v="3"/>
    <n v="1"/>
    <n v="117.24"/>
    <n v="21427700000000"/>
    <n v="78.5"/>
    <n v="9.6"/>
    <n v="36.6"/>
    <n v="328239523"/>
    <x v="344"/>
    <d v="1953-03-01T00:00:00"/>
    <d v="2026-02-03T00:00:00"/>
  </r>
  <r>
    <n v="383"/>
    <x v="7"/>
    <x v="363"/>
    <x v="1"/>
    <s v="Hampton"/>
    <s v="Chick-fil-A"/>
    <s v="Food &amp; Beverage"/>
    <x v="0"/>
    <x v="1"/>
    <x v="301"/>
    <x v="287"/>
    <x v="157"/>
    <n v="1955"/>
    <n v="12"/>
    <n v="17"/>
    <n v="117.24"/>
    <n v="21427700000000"/>
    <n v="78.5"/>
    <n v="9.6"/>
    <n v="36.6"/>
    <n v="328239523"/>
    <x v="345"/>
    <d v="1955-12-17T00:00:00"/>
    <d v="2026-02-03T00:00:00"/>
  </r>
  <r>
    <n v="383"/>
    <x v="3"/>
    <x v="364"/>
    <x v="1"/>
    <s v="New York"/>
    <s v="Hedge funds"/>
    <s v="Finance &amp; Investments"/>
    <x v="1"/>
    <x v="0"/>
    <x v="302"/>
    <x v="288"/>
    <x v="157"/>
    <n v="1945"/>
    <n v="2"/>
    <n v="25"/>
    <n v="117.24"/>
    <n v="21427700000000"/>
    <n v="78.5"/>
    <n v="9.6"/>
    <n v="36.6"/>
    <n v="328239523"/>
    <x v="346"/>
    <d v="1945-02-25T00:00:00"/>
    <d v="2026-02-03T00:00:00"/>
  </r>
  <r>
    <n v="383"/>
    <x v="2"/>
    <x v="365"/>
    <x v="1"/>
    <s v="Newport Coast"/>
    <s v="Semiconductors"/>
    <s v="Technology"/>
    <x v="1"/>
    <x v="0"/>
    <x v="303"/>
    <x v="220"/>
    <x v="157"/>
    <n v="1959"/>
    <n v="10"/>
    <n v="8"/>
    <n v="117.24"/>
    <n v="21427700000000"/>
    <n v="78.5"/>
    <n v="9.6"/>
    <n v="36.6"/>
    <n v="328239523"/>
    <x v="347"/>
    <d v="1959-10-08T00:00:00"/>
    <d v="2026-02-03T00:00:00"/>
  </r>
  <r>
    <n v="383"/>
    <x v="3"/>
    <x v="366"/>
    <x v="7"/>
    <s v="Munich"/>
    <s v="Investments"/>
    <s v="Finance &amp; Investments"/>
    <x v="0"/>
    <x v="1"/>
    <x v="304"/>
    <x v="289"/>
    <x v="157"/>
    <n v="1976"/>
    <n v="1"/>
    <n v="7"/>
    <n v="112.85"/>
    <n v="3845630030824"/>
    <n v="80.900000000000006"/>
    <n v="11.5"/>
    <n v="48.8"/>
    <n v="83132799"/>
    <x v="348"/>
    <d v="1976-01-07T00:00:00"/>
    <d v="2026-02-03T00:00:00"/>
  </r>
  <r>
    <n v="390"/>
    <x v="3"/>
    <x v="367"/>
    <x v="1"/>
    <s v="Fort Worth"/>
    <s v="Private equity"/>
    <s v="Finance &amp; Investments"/>
    <x v="1"/>
    <x v="0"/>
    <x v="305"/>
    <x v="20"/>
    <x v="158"/>
    <n v="1942"/>
    <n v="11"/>
    <n v="27"/>
    <n v="117.24"/>
    <n v="21427700000000"/>
    <n v="78.5"/>
    <n v="9.6"/>
    <n v="36.6"/>
    <n v="328239523"/>
    <x v="349"/>
    <d v="1942-11-27T00:00:00"/>
    <d v="2026-02-03T00:00:00"/>
  </r>
  <r>
    <n v="390"/>
    <x v="2"/>
    <x v="368"/>
    <x v="1"/>
    <s v="Medina"/>
    <s v="Microsoft"/>
    <s v="Technology"/>
    <x v="0"/>
    <x v="1"/>
    <x v="306"/>
    <x v="290"/>
    <x v="158"/>
    <n v="1964"/>
    <n v="8"/>
    <n v="15"/>
    <n v="117.24"/>
    <n v="21427700000000"/>
    <n v="78.5"/>
    <n v="9.6"/>
    <n v="36.6"/>
    <n v="328239523"/>
    <x v="350"/>
    <d v="1964-08-15T00:00:00"/>
    <d v="2026-02-03T00:00:00"/>
  </r>
  <r>
    <n v="390"/>
    <x v="15"/>
    <x v="369"/>
    <x v="1"/>
    <s v="Chevy Chase"/>
    <s v="Real estate"/>
    <s v="Real Estate"/>
    <x v="0"/>
    <x v="1"/>
    <x v="307"/>
    <x v="291"/>
    <x v="158"/>
    <n v="1930"/>
    <n v="2"/>
    <n v="27"/>
    <n v="117.24"/>
    <n v="21427700000000"/>
    <n v="78.5"/>
    <n v="9.6"/>
    <n v="36.6"/>
    <n v="328239523"/>
    <x v="351"/>
    <d v="1930-02-27T00:00:00"/>
    <d v="2026-02-03T00:00:00"/>
  </r>
  <r>
    <n v="390"/>
    <x v="15"/>
    <x v="370"/>
    <x v="12"/>
    <s v="London"/>
    <s v="Investments, real estate"/>
    <s v="Real Estate"/>
    <x v="1"/>
    <x v="0"/>
    <x v="308"/>
    <x v="20"/>
    <x v="158"/>
    <n v="1938"/>
    <n v="9"/>
    <n v="1"/>
    <n v="119.62"/>
    <n v="2827113184696"/>
    <n v="81.3"/>
    <n v="25.5"/>
    <n v="30.6"/>
    <n v="66834405"/>
    <x v="352"/>
    <d v="1938-09-01T00:00:00"/>
    <d v="2026-02-03T00:00:00"/>
  </r>
  <r>
    <n v="390"/>
    <x v="15"/>
    <x v="371"/>
    <x v="8"/>
    <s v="Crans Montana"/>
    <s v="Real estate"/>
    <s v="Real Estate"/>
    <x v="1"/>
    <x v="0"/>
    <x v="309"/>
    <x v="292"/>
    <x v="158"/>
    <n v="1971"/>
    <n v="4"/>
    <n v="22"/>
    <n v="99.55"/>
    <n v="703082435360"/>
    <n v="83.6"/>
    <n v="10.1"/>
    <n v="28.8"/>
    <n v="8574832"/>
    <x v="353"/>
    <d v="1971-04-22T00:00:00"/>
    <d v="2026-02-03T00:00:00"/>
  </r>
  <r>
    <n v="397"/>
    <x v="3"/>
    <x v="372"/>
    <x v="19"/>
    <s v="Gothenberg"/>
    <s v="Investments"/>
    <s v="Finance &amp; Investments"/>
    <x v="1"/>
    <x v="0"/>
    <x v="310"/>
    <x v="81"/>
    <x v="159"/>
    <n v="1951"/>
    <n v="8"/>
    <n v="19"/>
    <n v="110.51"/>
    <n v="530832908738"/>
    <n v="82.5"/>
    <n v="27.9"/>
    <n v="49.1"/>
    <n v="10285453"/>
    <x v="354"/>
    <d v="1951-08-19T00:00:00"/>
    <d v="2026-02-03T00:00:00"/>
  </r>
  <r>
    <n v="397"/>
    <x v="17"/>
    <x v="373"/>
    <x v="1"/>
    <s v="Hobe Sound"/>
    <s v="Staffing, Baltimore Ravens"/>
    <s v="Sports"/>
    <x v="1"/>
    <x v="0"/>
    <x v="311"/>
    <x v="42"/>
    <x v="159"/>
    <n v="1960"/>
    <n v="4"/>
    <n v="10"/>
    <n v="117.24"/>
    <n v="21427700000000"/>
    <n v="78.5"/>
    <n v="9.6"/>
    <n v="36.6"/>
    <n v="328239523"/>
    <x v="355"/>
    <d v="1960-04-10T00:00:00"/>
    <d v="2026-02-03T00:00:00"/>
  </r>
  <r>
    <n v="397"/>
    <x v="3"/>
    <x v="374"/>
    <x v="1"/>
    <s v="New York"/>
    <s v="Hedge funds"/>
    <s v="Finance &amp; Investments"/>
    <x v="1"/>
    <x v="0"/>
    <x v="312"/>
    <x v="112"/>
    <x v="159"/>
    <n v="1953"/>
    <n v="6"/>
    <n v="14"/>
    <n v="117.24"/>
    <n v="21427700000000"/>
    <n v="78.5"/>
    <n v="9.6"/>
    <n v="36.6"/>
    <n v="328239523"/>
    <x v="356"/>
    <d v="1953-06-14T00:00:00"/>
    <d v="2026-02-03T00:00:00"/>
  </r>
  <r>
    <n v="397"/>
    <x v="13"/>
    <x v="375"/>
    <x v="5"/>
    <s v="Beijing"/>
    <s v="Biomedical products"/>
    <s v="Healthcare"/>
    <x v="1"/>
    <x v="1"/>
    <x v="313"/>
    <x v="153"/>
    <x v="159"/>
    <n v="1963"/>
    <n v="11"/>
    <n v="1"/>
    <n v="125.08"/>
    <n v="19910000000000"/>
    <n v="77"/>
    <n v="9.4"/>
    <n v="59.2"/>
    <n v="1397715000"/>
    <x v="357"/>
    <d v="1963-11-01T00:00:00"/>
    <d v="2026-02-03T00:00:00"/>
  </r>
  <r>
    <n v="397"/>
    <x v="12"/>
    <x v="376"/>
    <x v="0"/>
    <s v="Paris"/>
    <s v="Oil, banking, telecom"/>
    <s v="Energy"/>
    <x v="1"/>
    <x v="0"/>
    <x v="314"/>
    <x v="293"/>
    <x v="159"/>
    <n v="1962"/>
    <n v="10"/>
    <n v="15"/>
    <n v="110.05"/>
    <n v="2715518274227"/>
    <n v="82.5"/>
    <n v="24.2"/>
    <n v="60.7"/>
    <n v="67059887"/>
    <x v="358"/>
    <d v="1962-10-15T00:00:00"/>
    <d v="2026-02-03T00:00:00"/>
  </r>
  <r>
    <n v="397"/>
    <x v="3"/>
    <x v="377"/>
    <x v="34"/>
    <s v="Bogota"/>
    <s v="Banking"/>
    <s v="Finance &amp; Investments"/>
    <x v="1"/>
    <x v="0"/>
    <x v="315"/>
    <x v="294"/>
    <x v="159"/>
    <n v="1933"/>
    <n v="1"/>
    <n v="27"/>
    <n v="140.94999999999999"/>
    <n v="323802808108"/>
    <n v="77.099999999999994"/>
    <n v="14.4"/>
    <n v="71.2"/>
    <n v="50339443"/>
    <x v="359"/>
    <d v="1933-01-27T00:00:00"/>
    <d v="2026-02-03T00:00:00"/>
  </r>
  <r>
    <n v="397"/>
    <x v="8"/>
    <x v="378"/>
    <x v="1"/>
    <s v="Missoula"/>
    <s v="Construction, mining"/>
    <s v="Logistics"/>
    <x v="1"/>
    <x v="0"/>
    <x v="316"/>
    <x v="295"/>
    <x v="159"/>
    <n v="1934"/>
    <n v="7"/>
    <n v="27"/>
    <n v="117.24"/>
    <n v="21427700000000"/>
    <n v="78.5"/>
    <n v="9.6"/>
    <n v="36.6"/>
    <n v="328239523"/>
    <x v="360"/>
    <d v="1934-07-27T00:00:00"/>
    <d v="2026-02-03T00:00:00"/>
  </r>
  <r>
    <n v="405"/>
    <x v="16"/>
    <x v="379"/>
    <x v="12"/>
    <s v="Gloucestershire"/>
    <s v="Construction equipment"/>
    <s v="Construction &amp; Engineering"/>
    <x v="0"/>
    <x v="0"/>
    <x v="317"/>
    <x v="124"/>
    <x v="160"/>
    <n v="1945"/>
    <n v="10"/>
    <n v="23"/>
    <n v="119.62"/>
    <n v="2827113184696"/>
    <n v="81.3"/>
    <n v="25.5"/>
    <n v="30.6"/>
    <n v="66834405"/>
    <x v="361"/>
    <d v="1945-10-23T00:00:00"/>
    <d v="2026-02-03T00:00:00"/>
  </r>
  <r>
    <n v="405"/>
    <x v="12"/>
    <x v="380"/>
    <x v="5"/>
    <s v="Changzhou"/>
    <s v="Solar equipment"/>
    <s v="Energy"/>
    <x v="1"/>
    <x v="0"/>
    <x v="318"/>
    <x v="296"/>
    <x v="160"/>
    <n v="1965"/>
    <n v="1"/>
    <n v="1"/>
    <n v="125.08"/>
    <n v="19910000000000"/>
    <n v="77"/>
    <n v="9.4"/>
    <n v="59.2"/>
    <n v="1397715000"/>
    <x v="362"/>
    <d v="1965-01-01T00:00:00"/>
    <d v="2026-02-03T00:00:00"/>
  </r>
  <r>
    <n v="405"/>
    <x v="3"/>
    <x v="381"/>
    <x v="12"/>
    <s v="London"/>
    <s v="Private equity"/>
    <s v="Finance &amp; Investments"/>
    <x v="1"/>
    <x v="0"/>
    <x v="319"/>
    <x v="29"/>
    <x v="160"/>
    <n v="1956"/>
    <n v="6"/>
    <n v="1"/>
    <n v="119.62"/>
    <n v="2827113184696"/>
    <n v="81.3"/>
    <n v="25.5"/>
    <n v="30.6"/>
    <n v="66834405"/>
    <x v="363"/>
    <d v="1956-06-01T00:00:00"/>
    <d v="2026-02-03T00:00:00"/>
  </r>
  <r>
    <n v="405"/>
    <x v="13"/>
    <x v="382"/>
    <x v="0"/>
    <s v="Lyon"/>
    <s v="Pharmaceuticals"/>
    <s v="Healthcare"/>
    <x v="0"/>
    <x v="0"/>
    <x v="320"/>
    <x v="36"/>
    <x v="160"/>
    <n v="1938"/>
    <n v="1"/>
    <n v="1"/>
    <n v="110.05"/>
    <n v="2715518274227"/>
    <n v="82.5"/>
    <n v="24.2"/>
    <n v="60.7"/>
    <n v="67059887"/>
    <x v="364"/>
    <d v="1938-01-01T00:00:00"/>
    <d v="2026-02-03T00:00:00"/>
  </r>
  <r>
    <n v="405"/>
    <x v="12"/>
    <x v="383"/>
    <x v="5"/>
    <s v="Langfang"/>
    <s v="Natural gas distribution"/>
    <s v="Energy"/>
    <x v="1"/>
    <x v="0"/>
    <x v="64"/>
    <x v="297"/>
    <x v="160"/>
    <n v="1964"/>
    <n v="3"/>
    <n v="11"/>
    <n v="125.08"/>
    <n v="19910000000000"/>
    <n v="77"/>
    <n v="9.4"/>
    <n v="59.2"/>
    <n v="1397715000"/>
    <x v="365"/>
    <d v="1964-03-11T00:00:00"/>
    <d v="2026-02-03T00:00:00"/>
  </r>
  <r>
    <n v="405"/>
    <x v="10"/>
    <x v="384"/>
    <x v="23"/>
    <s v="Tel Aviv"/>
    <s v="Metalworking tools"/>
    <s v="Manufacturing"/>
    <x v="1"/>
    <x v="0"/>
    <x v="35"/>
    <x v="298"/>
    <x v="160"/>
    <n v="1926"/>
    <n v="7"/>
    <n v="16"/>
    <n v="108.15"/>
    <n v="395098666122"/>
    <n v="82.8"/>
    <n v="23.1"/>
    <n v="25.3"/>
    <n v="9053300"/>
    <x v="366"/>
    <d v="1926-07-16T00:00:00"/>
    <d v="2026-02-03T00:00:00"/>
  </r>
  <r>
    <n v="411"/>
    <x v="7"/>
    <x v="385"/>
    <x v="2"/>
    <s v="Mexico City"/>
    <s v="Beer, investments"/>
    <s v="Food &amp; Beverage"/>
    <x v="0"/>
    <x v="1"/>
    <x v="321"/>
    <x v="299"/>
    <x v="161"/>
    <n v="1963"/>
    <n v="5"/>
    <n v="2"/>
    <n v="141.54"/>
    <n v="1258286717125"/>
    <n v="75"/>
    <n v="13.1"/>
    <n v="55.1"/>
    <n v="126014024"/>
    <x v="367"/>
    <d v="1963-05-02T00:00:00"/>
    <d v="2026-02-03T00:00:00"/>
  </r>
  <r>
    <n v="411"/>
    <x v="6"/>
    <x v="386"/>
    <x v="19"/>
    <s v="Stockholm"/>
    <s v="Investments"/>
    <s v="Diversified"/>
    <x v="1"/>
    <x v="0"/>
    <x v="322"/>
    <x v="300"/>
    <x v="161"/>
    <n v="1938"/>
    <n v="3"/>
    <n v="3"/>
    <n v="110.51"/>
    <n v="530832908738"/>
    <n v="82.5"/>
    <n v="27.9"/>
    <n v="49.1"/>
    <n v="10285453"/>
    <x v="368"/>
    <d v="1938-03-03T00:00:00"/>
    <d v="2026-02-03T00:00:00"/>
  </r>
  <r>
    <n v="411"/>
    <x v="14"/>
    <x v="387"/>
    <x v="35"/>
    <s v="Amsterdam"/>
    <s v="Temp agency"/>
    <s v="Service"/>
    <x v="1"/>
    <x v="0"/>
    <x v="323"/>
    <x v="301"/>
    <x v="161"/>
    <n v="1933"/>
    <n v="8"/>
    <n v="2"/>
    <n v="115.91"/>
    <n v="909070395161"/>
    <n v="81.8"/>
    <n v="23"/>
    <n v="41.2"/>
    <n v="17332850"/>
    <x v="369"/>
    <d v="1933-08-02T00:00:00"/>
    <d v="2026-02-03T00:00:00"/>
  </r>
  <r>
    <n v="411"/>
    <x v="7"/>
    <x v="388"/>
    <x v="5"/>
    <s v="Shenzhen"/>
    <s v="Beverages"/>
    <s v="Food &amp; Beverage"/>
    <x v="1"/>
    <x v="0"/>
    <x v="290"/>
    <x v="302"/>
    <x v="161"/>
    <n v="1964"/>
    <n v="1"/>
    <n v="1"/>
    <n v="125.08"/>
    <n v="19910000000000"/>
    <n v="77"/>
    <n v="9.4"/>
    <n v="59.2"/>
    <n v="1397715000"/>
    <x v="136"/>
    <d v="1964-01-01T00:00:00"/>
    <d v="2026-02-03T00:00:00"/>
  </r>
  <r>
    <n v="411"/>
    <x v="10"/>
    <x v="389"/>
    <x v="5"/>
    <s v="Ningbo"/>
    <s v="Power strips"/>
    <s v="Manufacturing"/>
    <x v="1"/>
    <x v="0"/>
    <x v="324"/>
    <x v="172"/>
    <x v="161"/>
    <n v="1964"/>
    <n v="1"/>
    <n v="1"/>
    <n v="125.08"/>
    <n v="19910000000000"/>
    <n v="77"/>
    <n v="9.4"/>
    <n v="59.2"/>
    <n v="1397715000"/>
    <x v="136"/>
    <d v="1964-01-01T00:00:00"/>
    <d v="2026-02-03T00:00:00"/>
  </r>
  <r>
    <n v="411"/>
    <x v="10"/>
    <x v="390"/>
    <x v="5"/>
    <s v="Ningbo"/>
    <s v="Power strip"/>
    <s v="Manufacturing"/>
    <x v="1"/>
    <x v="0"/>
    <x v="324"/>
    <x v="303"/>
    <x v="161"/>
    <n v="1972"/>
    <n v="1"/>
    <n v="1"/>
    <n v="125.08"/>
    <n v="19910000000000"/>
    <n v="77"/>
    <n v="9.4"/>
    <n v="59.2"/>
    <n v="1397715000"/>
    <x v="144"/>
    <d v="1972-01-01T00:00:00"/>
    <d v="2026-02-03T00:00:00"/>
  </r>
  <r>
    <n v="411"/>
    <x v="3"/>
    <x v="391"/>
    <x v="36"/>
    <s v="Kielce"/>
    <s v="Investments"/>
    <s v="Finance &amp; Investments"/>
    <x v="1"/>
    <x v="0"/>
    <x v="325"/>
    <x v="304"/>
    <x v="161"/>
    <n v="1962"/>
    <n v="7"/>
    <n v="11"/>
    <n v="114.11"/>
    <n v="592164400688"/>
    <n v="77.599999999999994"/>
    <n v="17.399999999999999"/>
    <n v="40.799999999999997"/>
    <n v="37970874"/>
    <x v="370"/>
    <d v="1962-07-11T00:00:00"/>
    <d v="2026-02-03T00:00:00"/>
  </r>
  <r>
    <n v="418"/>
    <x v="6"/>
    <x v="392"/>
    <x v="22"/>
    <s v="Lagos"/>
    <s v="Telecom, oil"/>
    <s v="Diversified"/>
    <x v="1"/>
    <x v="0"/>
    <x v="326"/>
    <x v="135"/>
    <x v="162"/>
    <n v="1953"/>
    <n v="4"/>
    <n v="29"/>
    <n v="267.51"/>
    <n v="448120428859"/>
    <n v="54.3"/>
    <n v="1.5"/>
    <n v="34.799999999999997"/>
    <n v="200963599"/>
    <x v="371"/>
    <d v="1953-04-29T00:00:00"/>
    <d v="2026-02-03T00:00:00"/>
  </r>
  <r>
    <n v="418"/>
    <x v="3"/>
    <x v="393"/>
    <x v="1"/>
    <s v="Beverly Hills"/>
    <s v="Private equity"/>
    <s v="Finance &amp; Investments"/>
    <x v="1"/>
    <x v="0"/>
    <x v="327"/>
    <x v="305"/>
    <x v="162"/>
    <n v="1964"/>
    <n v="7"/>
    <n v="31"/>
    <n v="117.24"/>
    <n v="21427700000000"/>
    <n v="78.5"/>
    <n v="9.6"/>
    <n v="36.6"/>
    <n v="328239523"/>
    <x v="372"/>
    <d v="1964-07-31T00:00:00"/>
    <d v="2026-02-03T00:00:00"/>
  </r>
  <r>
    <n v="418"/>
    <x v="0"/>
    <x v="394"/>
    <x v="7"/>
    <s v="Hamburg"/>
    <s v="Coffee"/>
    <s v="Fashion &amp; Retail"/>
    <x v="0"/>
    <x v="0"/>
    <x v="328"/>
    <x v="6"/>
    <x v="162"/>
    <n v="1943"/>
    <n v="9"/>
    <n v="28"/>
    <n v="112.85"/>
    <n v="3845630030824"/>
    <n v="80.900000000000006"/>
    <n v="11.5"/>
    <n v="48.8"/>
    <n v="83132799"/>
    <x v="373"/>
    <d v="1943-09-28T00:00:00"/>
    <d v="2026-02-03T00:00:00"/>
  </r>
  <r>
    <n v="418"/>
    <x v="0"/>
    <x v="395"/>
    <x v="7"/>
    <s v="Hamburg"/>
    <s v="Coffee"/>
    <s v="Fashion &amp; Retail"/>
    <x v="0"/>
    <x v="0"/>
    <x v="328"/>
    <x v="306"/>
    <x v="162"/>
    <n v="1951"/>
    <n v="1"/>
    <n v="1"/>
    <n v="112.85"/>
    <n v="3845630030824"/>
    <n v="80.900000000000006"/>
    <n v="11.5"/>
    <n v="48.8"/>
    <n v="83132799"/>
    <x v="96"/>
    <d v="1951-01-01T00:00:00"/>
    <d v="2026-02-03T00:00:00"/>
  </r>
  <r>
    <n v="425"/>
    <x v="11"/>
    <x v="396"/>
    <x v="16"/>
    <s v="Moscow"/>
    <s v="Steel, mining"/>
    <s v="Metals &amp; Mining"/>
    <x v="1"/>
    <x v="0"/>
    <x v="329"/>
    <x v="171"/>
    <x v="163"/>
    <n v="1959"/>
    <n v="2"/>
    <n v="20"/>
    <n v="180.75"/>
    <n v="1699876578871"/>
    <n v="72.7"/>
    <n v="11.4"/>
    <n v="46.2"/>
    <n v="144373535"/>
    <x v="374"/>
    <d v="1959-02-20T00:00:00"/>
    <d v="2026-02-03T00:00:00"/>
  </r>
  <r>
    <n v="425"/>
    <x v="15"/>
    <x v="397"/>
    <x v="1"/>
    <s v="Chicago"/>
    <s v="Real estate"/>
    <s v="Real Estate"/>
    <x v="1"/>
    <x v="0"/>
    <x v="330"/>
    <x v="307"/>
    <x v="163"/>
    <n v="1938"/>
    <n v="1"/>
    <n v="12"/>
    <n v="117.24"/>
    <n v="21427700000000"/>
    <n v="78.5"/>
    <n v="9.6"/>
    <n v="36.6"/>
    <n v="328239523"/>
    <x v="375"/>
    <d v="1938-01-12T00:00:00"/>
    <d v="2026-02-03T00:00:00"/>
  </r>
  <r>
    <n v="425"/>
    <x v="0"/>
    <x v="398"/>
    <x v="6"/>
    <s v="Montreal"/>
    <s v="Convinience stores"/>
    <s v="Fashion &amp; Retail"/>
    <x v="1"/>
    <x v="0"/>
    <x v="331"/>
    <x v="36"/>
    <x v="163"/>
    <n v="1949"/>
    <n v="2"/>
    <n v="18"/>
    <n v="116.76"/>
    <n v="1736425629520"/>
    <n v="81.900000000000006"/>
    <n v="12.8"/>
    <n v="24.5"/>
    <n v="36991981"/>
    <x v="376"/>
    <d v="1949-02-18T00:00:00"/>
    <d v="2026-02-03T00:00:00"/>
  </r>
  <r>
    <n v="425"/>
    <x v="2"/>
    <x v="399"/>
    <x v="1"/>
    <s v="Reno"/>
    <s v="Security software"/>
    <s v="Technology"/>
    <x v="1"/>
    <x v="0"/>
    <x v="332"/>
    <x v="308"/>
    <x v="163"/>
    <n v="1959"/>
    <n v="8"/>
    <n v="26"/>
    <n v="117.24"/>
    <n v="21427700000000"/>
    <n v="78.5"/>
    <n v="9.6"/>
    <n v="36.6"/>
    <n v="328239523"/>
    <x v="377"/>
    <d v="1959-08-26T00:00:00"/>
    <d v="2026-02-03T00:00:00"/>
  </r>
  <r>
    <n v="425"/>
    <x v="0"/>
    <x v="400"/>
    <x v="3"/>
    <s v="Mumbai"/>
    <s v="Retail, investments"/>
    <s v="Fashion &amp; Retail"/>
    <x v="1"/>
    <x v="0"/>
    <x v="95"/>
    <x v="309"/>
    <x v="163"/>
    <n v="1958"/>
    <n v="1"/>
    <n v="1"/>
    <n v="180.44"/>
    <n v="2611000000000"/>
    <n v="69.400000000000006"/>
    <n v="11.2"/>
    <n v="49.7"/>
    <n v="1366417754"/>
    <x v="342"/>
    <d v="1958-01-01T00:00:00"/>
    <d v="2026-02-03T00:00:00"/>
  </r>
  <r>
    <n v="425"/>
    <x v="6"/>
    <x v="401"/>
    <x v="20"/>
    <s v="Bangkok"/>
    <s v="Diversified"/>
    <s v="Diversified"/>
    <x v="0"/>
    <x v="0"/>
    <x v="333"/>
    <x v="310"/>
    <x v="163"/>
    <n v="1934"/>
    <n v="11"/>
    <n v="2"/>
    <n v="113.27"/>
    <n v="543649976166"/>
    <n v="76.900000000000006"/>
    <n v="14.9"/>
    <n v="29.5"/>
    <n v="69625582"/>
    <x v="378"/>
    <d v="1934-11-02T00:00:00"/>
    <d v="2026-02-03T00:00:00"/>
  </r>
  <r>
    <n v="425"/>
    <x v="3"/>
    <x v="402"/>
    <x v="23"/>
    <s v="Tel Aviv"/>
    <s v="Investments"/>
    <s v="Finance &amp; Investments"/>
    <x v="1"/>
    <x v="0"/>
    <x v="334"/>
    <x v="311"/>
    <x v="163"/>
    <n v="1930"/>
    <n v="10"/>
    <n v="22"/>
    <n v="108.15"/>
    <n v="395098666122"/>
    <n v="82.8"/>
    <n v="23.1"/>
    <n v="25.3"/>
    <n v="9053300"/>
    <x v="379"/>
    <d v="1930-10-22T00:00:00"/>
    <d v="2026-02-03T00:00:00"/>
  </r>
  <r>
    <n v="425"/>
    <x v="3"/>
    <x v="403"/>
    <x v="1"/>
    <s v="Los Angeles"/>
    <s v="Investments"/>
    <s v="Finance &amp; Investments"/>
    <x v="1"/>
    <x v="0"/>
    <x v="335"/>
    <x v="6"/>
    <x v="163"/>
    <n v="1946"/>
    <n v="7"/>
    <n v="4"/>
    <n v="117.24"/>
    <n v="21427700000000"/>
    <n v="78.5"/>
    <n v="9.6"/>
    <n v="36.6"/>
    <n v="328239523"/>
    <x v="380"/>
    <d v="1946-07-04T00:00:00"/>
    <d v="2026-02-03T00:00:00"/>
  </r>
  <r>
    <n v="425"/>
    <x v="2"/>
    <x v="404"/>
    <x v="1"/>
    <s v="St. Louis"/>
    <s v="IT provider"/>
    <s v="Technology"/>
    <x v="1"/>
    <x v="0"/>
    <x v="336"/>
    <x v="20"/>
    <x v="163"/>
    <n v="1951"/>
    <n v="7"/>
    <n v="2"/>
    <n v="117.24"/>
    <n v="21427700000000"/>
    <n v="78.5"/>
    <n v="9.6"/>
    <n v="36.6"/>
    <n v="328239523"/>
    <x v="381"/>
    <d v="1951-07-02T00:00:00"/>
    <d v="2026-02-03T00:00:00"/>
  </r>
  <r>
    <n v="425"/>
    <x v="0"/>
    <x v="405"/>
    <x v="1"/>
    <s v="New Albany"/>
    <s v="Retail"/>
    <s v="Fashion &amp; Retail"/>
    <x v="1"/>
    <x v="0"/>
    <x v="337"/>
    <x v="312"/>
    <x v="163"/>
    <n v="1937"/>
    <n v="9"/>
    <n v="8"/>
    <n v="117.24"/>
    <n v="21427700000000"/>
    <n v="78.5"/>
    <n v="9.6"/>
    <n v="36.6"/>
    <n v="328239523"/>
    <x v="382"/>
    <d v="1937-09-08T00:00:00"/>
    <d v="2026-02-03T00:00:00"/>
  </r>
  <r>
    <n v="437"/>
    <x v="15"/>
    <x v="406"/>
    <x v="5"/>
    <s v="Chengdu"/>
    <s v="Real estate"/>
    <s v="Real Estate"/>
    <x v="1"/>
    <x v="0"/>
    <x v="338"/>
    <x v="313"/>
    <x v="164"/>
    <n v="1963"/>
    <n v="1"/>
    <n v="1"/>
    <n v="125.08"/>
    <n v="19910000000000"/>
    <n v="77"/>
    <n v="9.4"/>
    <n v="59.2"/>
    <n v="1397715000"/>
    <x v="383"/>
    <d v="1963-01-01T00:00:00"/>
    <d v="2026-02-03T00:00:00"/>
  </r>
  <r>
    <n v="437"/>
    <x v="6"/>
    <x v="407"/>
    <x v="20"/>
    <s v="Bangkok"/>
    <s v="Diversified"/>
    <s v="Diversified"/>
    <x v="0"/>
    <x v="0"/>
    <x v="339"/>
    <x v="314"/>
    <x v="164"/>
    <n v="1930"/>
    <n v="4"/>
    <n v="1"/>
    <n v="113.27"/>
    <n v="543649976166"/>
    <n v="76.900000000000006"/>
    <n v="14.9"/>
    <n v="29.5"/>
    <n v="69625582"/>
    <x v="384"/>
    <d v="1930-04-01T00:00:00"/>
    <d v="2026-02-03T00:00:00"/>
  </r>
  <r>
    <n v="437"/>
    <x v="3"/>
    <x v="408"/>
    <x v="1"/>
    <s v="Darien"/>
    <s v="Hedge funds"/>
    <s v="Finance &amp; Investments"/>
    <x v="1"/>
    <x v="0"/>
    <x v="340"/>
    <x v="120"/>
    <x v="164"/>
    <n v="1961"/>
    <n v="4"/>
    <n v="23"/>
    <n v="117.24"/>
    <n v="21427700000000"/>
    <n v="78.5"/>
    <n v="9.6"/>
    <n v="36.6"/>
    <n v="328239523"/>
    <x v="385"/>
    <d v="1961-04-23T00:00:00"/>
    <d v="2026-02-03T00:00:00"/>
  </r>
  <r>
    <n v="437"/>
    <x v="3"/>
    <x v="409"/>
    <x v="1"/>
    <s v="Los Angeles"/>
    <s v="Finance"/>
    <s v="Finance &amp; Investments"/>
    <x v="1"/>
    <x v="0"/>
    <x v="341"/>
    <x v="315"/>
    <x v="164"/>
    <n v="1960"/>
    <n v="10"/>
    <n v="12"/>
    <n v="117.24"/>
    <n v="21427700000000"/>
    <n v="78.5"/>
    <n v="9.6"/>
    <n v="36.6"/>
    <n v="328239523"/>
    <x v="386"/>
    <d v="1960-10-12T00:00:00"/>
    <d v="2026-02-03T00:00:00"/>
  </r>
  <r>
    <n v="437"/>
    <x v="7"/>
    <x v="410"/>
    <x v="5"/>
    <s v="Shanghai"/>
    <s v="Food, beverages"/>
    <s v="Food &amp; Beverage"/>
    <x v="0"/>
    <x v="0"/>
    <x v="342"/>
    <x v="316"/>
    <x v="164"/>
    <n v="1957"/>
    <n v="1"/>
    <n v="15"/>
    <n v="125.08"/>
    <n v="19910000000000"/>
    <n v="77"/>
    <n v="9.4"/>
    <n v="59.2"/>
    <n v="1397715000"/>
    <x v="387"/>
    <d v="1957-01-15T00:00:00"/>
    <d v="2026-02-03T00:00:00"/>
  </r>
  <r>
    <n v="442"/>
    <x v="3"/>
    <x v="411"/>
    <x v="1"/>
    <s v="Miami"/>
    <s v="Private equity"/>
    <s v="Finance &amp; Investments"/>
    <x v="1"/>
    <x v="0"/>
    <x v="343"/>
    <x v="317"/>
    <x v="165"/>
    <n v="1964"/>
    <n v="12"/>
    <n v="29"/>
    <n v="117.24"/>
    <n v="21427700000000"/>
    <n v="78.5"/>
    <n v="9.6"/>
    <n v="36.6"/>
    <n v="328239523"/>
    <x v="388"/>
    <d v="1964-12-29T00:00:00"/>
    <d v="2026-02-03T00:00:00"/>
  </r>
  <r>
    <n v="442"/>
    <x v="13"/>
    <x v="412"/>
    <x v="33"/>
    <s v="Humlebaek"/>
    <s v="Medical devices"/>
    <s v="Healthcare"/>
    <x v="0"/>
    <x v="0"/>
    <x v="344"/>
    <x v="318"/>
    <x v="165"/>
    <n v="1947"/>
    <n v="10"/>
    <n v="25"/>
    <n v="110.35"/>
    <n v="348078018464"/>
    <n v="81"/>
    <n v="32.4"/>
    <n v="23.8"/>
    <n v="5818553"/>
    <x v="389"/>
    <d v="1947-10-25T00:00:00"/>
    <d v="2026-02-03T00:00:00"/>
  </r>
  <r>
    <n v="442"/>
    <x v="13"/>
    <x v="413"/>
    <x v="1"/>
    <s v="Los Angeles"/>
    <s v="Pharmaceuticals"/>
    <s v="Healthcare"/>
    <x v="1"/>
    <x v="0"/>
    <x v="345"/>
    <x v="206"/>
    <x v="165"/>
    <n v="1952"/>
    <n v="7"/>
    <n v="29"/>
    <n v="117.24"/>
    <n v="21427700000000"/>
    <n v="78.5"/>
    <n v="9.6"/>
    <n v="36.6"/>
    <n v="328239523"/>
    <x v="390"/>
    <d v="1952-07-29T00:00:00"/>
    <d v="2026-02-03T00:00:00"/>
  </r>
  <r>
    <n v="445"/>
    <x v="11"/>
    <x v="414"/>
    <x v="37"/>
    <s v="Donetsk"/>
    <s v="Steel, coal"/>
    <s v="Metals &amp; Mining"/>
    <x v="1"/>
    <x v="0"/>
    <x v="346"/>
    <x v="319"/>
    <x v="166"/>
    <n v="1966"/>
    <n v="9"/>
    <n v="21"/>
    <n v="281.66000000000003"/>
    <n v="153781069118"/>
    <n v="71.599999999999994"/>
    <n v="20.100000000000001"/>
    <n v="45.2"/>
    <n v="44385155"/>
    <x v="391"/>
    <d v="1966-09-21T00:00:00"/>
    <d v="2026-02-03T00:00:00"/>
  </r>
  <r>
    <n v="445"/>
    <x v="13"/>
    <x v="415"/>
    <x v="1"/>
    <s v="Atlanta"/>
    <s v="Medical equipment"/>
    <s v="Healthcare"/>
    <x v="1"/>
    <x v="0"/>
    <x v="347"/>
    <x v="29"/>
    <x v="166"/>
    <n v="1934"/>
    <n v="9"/>
    <n v="15"/>
    <n v="117.24"/>
    <n v="21427700000000"/>
    <n v="78.5"/>
    <n v="9.6"/>
    <n v="36.6"/>
    <n v="328239523"/>
    <x v="392"/>
    <d v="1934-09-15T00:00:00"/>
    <d v="2026-02-03T00:00:00"/>
  </r>
  <r>
    <n v="445"/>
    <x v="12"/>
    <x v="416"/>
    <x v="6"/>
    <s v="Saint John"/>
    <s v="Oil"/>
    <s v="Energy"/>
    <x v="0"/>
    <x v="0"/>
    <x v="348"/>
    <x v="226"/>
    <x v="166"/>
    <n v="1930"/>
    <n v="1"/>
    <n v="1"/>
    <n v="116.76"/>
    <n v="1736425629520"/>
    <n v="81.900000000000006"/>
    <n v="12.8"/>
    <n v="24.5"/>
    <n v="36991981"/>
    <x v="393"/>
    <d v="1930-01-01T00:00:00"/>
    <d v="2026-02-03T00:00:00"/>
  </r>
  <r>
    <n v="445"/>
    <x v="15"/>
    <x v="417"/>
    <x v="19"/>
    <s v="Stockholm"/>
    <s v="Real estate, investments"/>
    <s v="Real Estate"/>
    <x v="0"/>
    <x v="0"/>
    <x v="349"/>
    <x v="320"/>
    <x v="166"/>
    <n v="1951"/>
    <n v="8"/>
    <n v="5"/>
    <n v="110.51"/>
    <n v="530832908738"/>
    <n v="82.5"/>
    <n v="27.9"/>
    <n v="49.1"/>
    <n v="10285453"/>
    <x v="394"/>
    <d v="1951-08-05T00:00:00"/>
    <d v="2026-02-03T00:00:00"/>
  </r>
  <r>
    <n v="445"/>
    <x v="16"/>
    <x v="418"/>
    <x v="8"/>
    <s v="Jona"/>
    <s v="Cement"/>
    <s v="Construction &amp; Engineering"/>
    <x v="0"/>
    <x v="0"/>
    <x v="350"/>
    <x v="49"/>
    <x v="166"/>
    <n v="1945"/>
    <n v="12"/>
    <n v="17"/>
    <n v="99.55"/>
    <n v="703082435360"/>
    <n v="83.6"/>
    <n v="10.1"/>
    <n v="28.8"/>
    <n v="8574832"/>
    <x v="395"/>
    <d v="1945-12-17T00:00:00"/>
    <d v="2026-02-03T00:00:00"/>
  </r>
  <r>
    <n v="445"/>
    <x v="3"/>
    <x v="419"/>
    <x v="1"/>
    <s v="New York"/>
    <s v="Investments"/>
    <s v="Finance &amp; Investments"/>
    <x v="0"/>
    <x v="0"/>
    <x v="351"/>
    <x v="79"/>
    <x v="166"/>
    <n v="1971"/>
    <n v="11"/>
    <n v="2"/>
    <n v="117.24"/>
    <n v="21427700000000"/>
    <n v="78.5"/>
    <n v="9.6"/>
    <n v="36.6"/>
    <n v="328239523"/>
    <x v="396"/>
    <d v="1971-11-02T00:00:00"/>
    <d v="2026-02-03T00:00:00"/>
  </r>
  <r>
    <n v="445"/>
    <x v="3"/>
    <x v="420"/>
    <x v="1"/>
    <s v="North Palm Beach"/>
    <s v="Investments"/>
    <s v="Finance &amp; Investments"/>
    <x v="0"/>
    <x v="0"/>
    <x v="351"/>
    <x v="321"/>
    <x v="166"/>
    <n v="1964"/>
    <n v="4"/>
    <n v="1"/>
    <n v="117.24"/>
    <n v="21427700000000"/>
    <n v="78.5"/>
    <n v="9.6"/>
    <n v="36.6"/>
    <n v="328239523"/>
    <x v="397"/>
    <d v="1964-04-01T00:00:00"/>
    <d v="2026-02-03T00:00:00"/>
  </r>
  <r>
    <n v="445"/>
    <x v="3"/>
    <x v="421"/>
    <x v="1"/>
    <s v="New York"/>
    <s v="Investments"/>
    <s v="Finance &amp; Investments"/>
    <x v="0"/>
    <x v="0"/>
    <x v="351"/>
    <x v="92"/>
    <x v="166"/>
    <n v="1966"/>
    <n v="8"/>
    <n v="12"/>
    <n v="117.24"/>
    <n v="21427700000000"/>
    <n v="78.5"/>
    <n v="9.6"/>
    <n v="36.6"/>
    <n v="328239523"/>
    <x v="398"/>
    <d v="1966-08-12T00:00:00"/>
    <d v="2026-02-03T00:00:00"/>
  </r>
  <r>
    <n v="455"/>
    <x v="12"/>
    <x v="422"/>
    <x v="1"/>
    <s v="Dallas"/>
    <s v="Oil, real estate"/>
    <s v="Energy"/>
    <x v="0"/>
    <x v="0"/>
    <x v="352"/>
    <x v="322"/>
    <x v="167"/>
    <n v="1943"/>
    <n v="4"/>
    <n v="6"/>
    <n v="117.24"/>
    <n v="21427700000000"/>
    <n v="78.5"/>
    <n v="9.6"/>
    <n v="36.6"/>
    <n v="328239523"/>
    <x v="399"/>
    <d v="1943-04-06T00:00:00"/>
    <d v="2026-02-03T00:00:00"/>
  </r>
  <r>
    <n v="455"/>
    <x v="8"/>
    <x v="423"/>
    <x v="5"/>
    <s v="Shanghai"/>
    <s v="Package delivery"/>
    <s v="Logistics"/>
    <x v="1"/>
    <x v="0"/>
    <x v="353"/>
    <x v="323"/>
    <x v="167"/>
    <n v="1970"/>
    <n v="12"/>
    <n v="1"/>
    <n v="125.08"/>
    <n v="19910000000000"/>
    <n v="77"/>
    <n v="9.4"/>
    <n v="59.2"/>
    <n v="1397715000"/>
    <x v="244"/>
    <d v="1970-12-01T00:00:00"/>
    <d v="2026-02-03T00:00:00"/>
  </r>
  <r>
    <n v="455"/>
    <x v="1"/>
    <x v="424"/>
    <x v="3"/>
    <s v="Delhi"/>
    <s v="Motorcycles"/>
    <s v="Automotive"/>
    <x v="0"/>
    <x v="0"/>
    <x v="354"/>
    <x v="324"/>
    <x v="167"/>
    <n v="1942"/>
    <n v="3"/>
    <n v="5"/>
    <n v="180.44"/>
    <n v="2611000000000"/>
    <n v="69.400000000000006"/>
    <n v="11.2"/>
    <n v="49.7"/>
    <n v="1366417754"/>
    <x v="400"/>
    <d v="1942-03-05T00:00:00"/>
    <d v="2026-02-03T00:00:00"/>
  </r>
  <r>
    <n v="455"/>
    <x v="3"/>
    <x v="425"/>
    <x v="1"/>
    <s v="Sands Point"/>
    <s v="Investments"/>
    <s v="Finance &amp; Investments"/>
    <x v="1"/>
    <x v="0"/>
    <x v="355"/>
    <x v="32"/>
    <x v="167"/>
    <n v="1935"/>
    <n v="9"/>
    <n v="16"/>
    <n v="117.24"/>
    <n v="21427700000000"/>
    <n v="78.5"/>
    <n v="9.6"/>
    <n v="36.6"/>
    <n v="328239523"/>
    <x v="401"/>
    <d v="1935-09-16T00:00:00"/>
    <d v="2026-02-03T00:00:00"/>
  </r>
  <r>
    <n v="455"/>
    <x v="13"/>
    <x v="426"/>
    <x v="5"/>
    <s v="Shanghai"/>
    <s v="Pharmaceutical ingredients"/>
    <s v="Healthcare"/>
    <x v="1"/>
    <x v="0"/>
    <x v="72"/>
    <x v="325"/>
    <x v="167"/>
    <n v="1967"/>
    <n v="1"/>
    <n v="1"/>
    <n v="125.08"/>
    <n v="19910000000000"/>
    <n v="77"/>
    <n v="9.4"/>
    <n v="59.2"/>
    <n v="1397715000"/>
    <x v="106"/>
    <d v="1967-01-01T00:00:00"/>
    <d v="2026-02-03T00:00:00"/>
  </r>
  <r>
    <n v="455"/>
    <x v="3"/>
    <x v="427"/>
    <x v="1"/>
    <s v="Branford"/>
    <s v="Hotels, investments"/>
    <s v="Finance &amp; Investments"/>
    <x v="0"/>
    <x v="1"/>
    <x v="356"/>
    <x v="326"/>
    <x v="167"/>
    <n v="1958"/>
    <n v="1"/>
    <n v="7"/>
    <n v="117.24"/>
    <n v="21427700000000"/>
    <n v="78.5"/>
    <n v="9.6"/>
    <n v="36.6"/>
    <n v="328239523"/>
    <x v="402"/>
    <d v="1958-01-07T00:00:00"/>
    <d v="2026-02-03T00:00:00"/>
  </r>
  <r>
    <n v="455"/>
    <x v="14"/>
    <x v="428"/>
    <x v="1"/>
    <s v="Dallas"/>
    <s v="Hotels, investments"/>
    <s v="Service"/>
    <x v="0"/>
    <x v="0"/>
    <x v="357"/>
    <x v="92"/>
    <x v="167"/>
    <n v="1953"/>
    <n v="9"/>
    <n v="26"/>
    <n v="117.24"/>
    <n v="21427700000000"/>
    <n v="78.5"/>
    <n v="9.6"/>
    <n v="36.6"/>
    <n v="328239523"/>
    <x v="403"/>
    <d v="1953-09-26T00:00:00"/>
    <d v="2026-02-03T00:00:00"/>
  </r>
  <r>
    <n v="455"/>
    <x v="9"/>
    <x v="429"/>
    <x v="23"/>
    <s v="Tel Aviv"/>
    <s v="Gambling software"/>
    <s v="Gambling &amp; Casinos"/>
    <x v="1"/>
    <x v="0"/>
    <x v="358"/>
    <x v="327"/>
    <x v="167"/>
    <n v="1971"/>
    <n v="11"/>
    <n v="1"/>
    <n v="108.15"/>
    <n v="395098666122"/>
    <n v="82.8"/>
    <n v="23.1"/>
    <n v="25.3"/>
    <n v="9053300"/>
    <x v="404"/>
    <d v="1971-11-01T00:00:00"/>
    <d v="2026-02-03T00:00:00"/>
  </r>
  <r>
    <n v="455"/>
    <x v="13"/>
    <x v="430"/>
    <x v="28"/>
    <s v="Seoul"/>
    <s v="Biotech"/>
    <s v="Healthcare"/>
    <x v="1"/>
    <x v="0"/>
    <x v="359"/>
    <x v="328"/>
    <x v="167"/>
    <n v="1957"/>
    <n v="10"/>
    <n v="23"/>
    <n v="115.16"/>
    <n v="2029000000000"/>
    <n v="82.6"/>
    <n v="15.6"/>
    <n v="33.200000000000003"/>
    <n v="51709098"/>
    <x v="405"/>
    <d v="1957-10-23T00:00:00"/>
    <d v="2026-02-03T00:00:00"/>
  </r>
  <r>
    <n v="455"/>
    <x v="1"/>
    <x v="431"/>
    <x v="5"/>
    <s v="Ningbo"/>
    <s v="Auto parts"/>
    <s v="Automotive"/>
    <x v="1"/>
    <x v="0"/>
    <x v="151"/>
    <x v="329"/>
    <x v="167"/>
    <n v="1964"/>
    <n v="1"/>
    <n v="1"/>
    <n v="125.08"/>
    <n v="19910000000000"/>
    <n v="77"/>
    <n v="9.4"/>
    <n v="59.2"/>
    <n v="1397715000"/>
    <x v="136"/>
    <d v="1964-01-01T00:00:00"/>
    <d v="2026-02-03T00:00:00"/>
  </r>
  <r>
    <n v="466"/>
    <x v="14"/>
    <x v="432"/>
    <x v="1"/>
    <s v="Bal Harbour"/>
    <s v="Carnival Cruises"/>
    <s v="Service"/>
    <x v="0"/>
    <x v="0"/>
    <x v="360"/>
    <x v="330"/>
    <x v="168"/>
    <n v="1949"/>
    <n v="6"/>
    <n v="29"/>
    <n v="117.24"/>
    <n v="21427700000000"/>
    <n v="78.5"/>
    <n v="9.6"/>
    <n v="36.6"/>
    <n v="328239523"/>
    <x v="406"/>
    <d v="1949-06-29T00:00:00"/>
    <d v="2026-02-03T00:00:00"/>
  </r>
  <r>
    <n v="466"/>
    <x v="4"/>
    <x v="433"/>
    <x v="1"/>
    <s v="Palisades"/>
    <s v="Media, automotive"/>
    <s v="Media &amp; Entertainment"/>
    <x v="0"/>
    <x v="0"/>
    <x v="361"/>
    <x v="58"/>
    <x v="168"/>
    <n v="1957"/>
    <n v="4"/>
    <n v="12"/>
    <n v="117.24"/>
    <n v="21427700000000"/>
    <n v="78.5"/>
    <n v="9.6"/>
    <n v="36.6"/>
    <n v="328239523"/>
    <x v="407"/>
    <d v="1957-04-12T00:00:00"/>
    <d v="2026-02-03T00:00:00"/>
  </r>
  <r>
    <n v="466"/>
    <x v="2"/>
    <x v="434"/>
    <x v="1"/>
    <s v="San Francisco"/>
    <s v="Payments software"/>
    <s v="Technology"/>
    <x v="1"/>
    <x v="0"/>
    <x v="362"/>
    <x v="29"/>
    <x v="168"/>
    <n v="1990"/>
    <n v="8"/>
    <n v="6"/>
    <n v="117.24"/>
    <n v="21427700000000"/>
    <n v="78.5"/>
    <n v="9.6"/>
    <n v="36.6"/>
    <n v="328239523"/>
    <x v="408"/>
    <d v="1990-08-06T00:00:00"/>
    <d v="2026-02-03T00:00:00"/>
  </r>
  <r>
    <n v="466"/>
    <x v="2"/>
    <x v="435"/>
    <x v="1"/>
    <s v="San Francisco"/>
    <s v="Payment software"/>
    <s v="Technology"/>
    <x v="1"/>
    <x v="0"/>
    <x v="362"/>
    <x v="206"/>
    <x v="168"/>
    <n v="1988"/>
    <n v="9"/>
    <n v="9"/>
    <n v="117.24"/>
    <n v="21427700000000"/>
    <n v="78.5"/>
    <n v="9.6"/>
    <n v="36.6"/>
    <n v="328239523"/>
    <x v="409"/>
    <d v="1988-09-09T00:00:00"/>
    <d v="2026-02-03T00:00:00"/>
  </r>
  <r>
    <n v="466"/>
    <x v="10"/>
    <x v="436"/>
    <x v="1"/>
    <s v="Redding"/>
    <s v="Timberland, lumber mills"/>
    <s v="Manufacturing"/>
    <x v="1"/>
    <x v="0"/>
    <x v="363"/>
    <x v="331"/>
    <x v="168"/>
    <n v="1929"/>
    <n v="4"/>
    <n v="10"/>
    <n v="117.24"/>
    <n v="21427700000000"/>
    <n v="78.5"/>
    <n v="9.6"/>
    <n v="36.6"/>
    <n v="328239523"/>
    <x v="410"/>
    <d v="1929-04-10T00:00:00"/>
    <d v="2026-02-03T00:00:00"/>
  </r>
  <r>
    <n v="466"/>
    <x v="1"/>
    <x v="437"/>
    <x v="24"/>
    <s v="Modena"/>
    <s v="Automobiles"/>
    <s v="Automotive"/>
    <x v="0"/>
    <x v="0"/>
    <x v="364"/>
    <x v="332"/>
    <x v="168"/>
    <n v="1945"/>
    <n v="5"/>
    <n v="22"/>
    <n v="110.62"/>
    <n v="2001244392042"/>
    <n v="82.9"/>
    <n v="24.3"/>
    <n v="59.1"/>
    <n v="60297396"/>
    <x v="411"/>
    <d v="1945-05-22T00:00:00"/>
    <d v="2026-02-03T00:00:00"/>
  </r>
  <r>
    <n v="466"/>
    <x v="1"/>
    <x v="438"/>
    <x v="1"/>
    <s v="Houston"/>
    <s v="Toyota dealerships"/>
    <s v="Automotive"/>
    <x v="0"/>
    <x v="0"/>
    <x v="365"/>
    <x v="286"/>
    <x v="168"/>
    <n v="1965"/>
    <n v="2"/>
    <n v="27"/>
    <n v="117.24"/>
    <n v="21427700000000"/>
    <n v="78.5"/>
    <n v="9.6"/>
    <n v="36.6"/>
    <n v="328239523"/>
    <x v="412"/>
    <d v="1965-02-27T00:00:00"/>
    <d v="2026-02-03T00:00:00"/>
  </r>
  <r>
    <n v="466"/>
    <x v="6"/>
    <x v="439"/>
    <x v="6"/>
    <s v="Saint John"/>
    <s v="Diversified"/>
    <s v="Diversified"/>
    <x v="0"/>
    <x v="0"/>
    <x v="348"/>
    <x v="58"/>
    <x v="168"/>
    <n v="1928"/>
    <n v="3"/>
    <n v="20"/>
    <n v="116.76"/>
    <n v="1736425629520"/>
    <n v="81.900000000000006"/>
    <n v="12.8"/>
    <n v="24.5"/>
    <n v="36991981"/>
    <x v="413"/>
    <d v="1928-03-20T00:00:00"/>
    <d v="2026-02-03T00:00:00"/>
  </r>
  <r>
    <n v="466"/>
    <x v="10"/>
    <x v="440"/>
    <x v="5"/>
    <s v="Chengdu"/>
    <s v="Chemicals"/>
    <s v="Manufacturing"/>
    <x v="1"/>
    <x v="0"/>
    <x v="119"/>
    <x v="333"/>
    <x v="168"/>
    <n v="1955"/>
    <n v="3"/>
    <n v="1"/>
    <n v="125.08"/>
    <n v="19910000000000"/>
    <n v="77"/>
    <n v="9.4"/>
    <n v="59.2"/>
    <n v="1397715000"/>
    <x v="414"/>
    <d v="1955-03-01T00:00:00"/>
    <d v="2026-02-03T00:00:00"/>
  </r>
  <r>
    <n v="466"/>
    <x v="13"/>
    <x v="441"/>
    <x v="7"/>
    <s v="Heidelberg"/>
    <s v="Pharmaceuticals"/>
    <s v="Healthcare"/>
    <x v="1"/>
    <x v="0"/>
    <x v="366"/>
    <x v="306"/>
    <x v="168"/>
    <n v="1941"/>
    <n v="6"/>
    <n v="4"/>
    <n v="112.85"/>
    <n v="3845630030824"/>
    <n v="80.900000000000006"/>
    <n v="11.5"/>
    <n v="48.8"/>
    <n v="83132799"/>
    <x v="415"/>
    <d v="1941-06-04T00:00:00"/>
    <d v="2026-02-03T00:00:00"/>
  </r>
  <r>
    <n v="466"/>
    <x v="3"/>
    <x v="442"/>
    <x v="7"/>
    <s v="Ulm"/>
    <s v="Pharmaceuticals"/>
    <s v="Finance &amp; Investments"/>
    <x v="0"/>
    <x v="0"/>
    <x v="367"/>
    <x v="334"/>
    <x v="168"/>
    <n v="1965"/>
    <n v="1"/>
    <n v="1"/>
    <n v="112.85"/>
    <n v="3845630030824"/>
    <n v="80.900000000000006"/>
    <n v="11.5"/>
    <n v="48.8"/>
    <n v="83132799"/>
    <x v="362"/>
    <d v="1965-01-01T00:00:00"/>
    <d v="2026-02-03T00:00:00"/>
  </r>
  <r>
    <n v="466"/>
    <x v="10"/>
    <x v="443"/>
    <x v="1"/>
    <s v="Potomac"/>
    <s v="Manufacturing, investments"/>
    <s v="Manufacturing"/>
    <x v="1"/>
    <x v="0"/>
    <x v="241"/>
    <x v="335"/>
    <x v="168"/>
    <n v="1956"/>
    <n v="8"/>
    <n v="21"/>
    <n v="117.24"/>
    <n v="21427700000000"/>
    <n v="78.5"/>
    <n v="9.6"/>
    <n v="36.6"/>
    <n v="328239523"/>
    <x v="416"/>
    <d v="1956-08-21T00:00:00"/>
    <d v="2026-02-03T00:00:00"/>
  </r>
  <r>
    <n v="466"/>
    <x v="4"/>
    <x v="444"/>
    <x v="1"/>
    <s v="East Hampton"/>
    <s v="Media, automotive"/>
    <s v="Media &amp; Entertainment"/>
    <x v="0"/>
    <x v="1"/>
    <x v="368"/>
    <x v="336"/>
    <x v="168"/>
    <n v="1945"/>
    <n v="1"/>
    <n v="12"/>
    <n v="117.24"/>
    <n v="21427700000000"/>
    <n v="78.5"/>
    <n v="9.6"/>
    <n v="36.6"/>
    <n v="328239523"/>
    <x v="417"/>
    <d v="1945-01-12T00:00:00"/>
    <d v="2026-02-03T00:00:00"/>
  </r>
  <r>
    <n v="466"/>
    <x v="3"/>
    <x v="445"/>
    <x v="1"/>
    <s v="New York"/>
    <s v="Hedge funds"/>
    <s v="Finance &amp; Investments"/>
    <x v="1"/>
    <x v="0"/>
    <x v="369"/>
    <x v="337"/>
    <x v="168"/>
    <n v="1944"/>
    <n v="8"/>
    <n v="22"/>
    <n v="117.24"/>
    <n v="21427700000000"/>
    <n v="78.5"/>
    <n v="9.6"/>
    <n v="36.6"/>
    <n v="328239523"/>
    <x v="418"/>
    <d v="1944-08-22T00:00:00"/>
    <d v="2026-02-03T00:00:00"/>
  </r>
  <r>
    <n v="466"/>
    <x v="13"/>
    <x v="446"/>
    <x v="24"/>
    <s v="Venice"/>
    <s v="Medical packaging"/>
    <s v="Healthcare"/>
    <x v="1"/>
    <x v="0"/>
    <x v="370"/>
    <x v="338"/>
    <x v="168"/>
    <n v="1943"/>
    <n v="3"/>
    <n v="20"/>
    <n v="110.62"/>
    <n v="2001244392042"/>
    <n v="82.9"/>
    <n v="24.3"/>
    <n v="59.1"/>
    <n v="60297396"/>
    <x v="419"/>
    <d v="1943-03-20T00:00:00"/>
    <d v="2026-02-03T00:00:00"/>
  </r>
  <r>
    <n v="466"/>
    <x v="4"/>
    <x v="447"/>
    <x v="1"/>
    <s v="Southampton"/>
    <s v="Media, automotive"/>
    <s v="Media &amp; Entertainment"/>
    <x v="0"/>
    <x v="1"/>
    <x v="371"/>
    <x v="339"/>
    <x v="168"/>
    <n v="1942"/>
    <n v="4"/>
    <n v="15"/>
    <n v="117.24"/>
    <n v="21427700000000"/>
    <n v="78.5"/>
    <n v="9.6"/>
    <n v="36.6"/>
    <n v="328239523"/>
    <x v="420"/>
    <d v="1942-04-15T00:00:00"/>
    <d v="2026-02-03T00:00:00"/>
  </r>
  <r>
    <n v="466"/>
    <x v="2"/>
    <x v="448"/>
    <x v="13"/>
    <s v="Sydney"/>
    <s v="Software"/>
    <s v="Technology"/>
    <x v="1"/>
    <x v="0"/>
    <x v="372"/>
    <x v="177"/>
    <x v="168"/>
    <n v="1955"/>
    <n v="4"/>
    <n v="1"/>
    <n v="119.8"/>
    <n v="1392680589329"/>
    <n v="82.7"/>
    <n v="23"/>
    <n v="47.4"/>
    <n v="25766605"/>
    <x v="421"/>
    <d v="1955-04-01T00:00:00"/>
    <d v="2026-02-03T00:00:00"/>
  </r>
  <r>
    <n v="466"/>
    <x v="6"/>
    <x v="449"/>
    <x v="5"/>
    <s v="Beijing"/>
    <s v="Biotech"/>
    <s v="Diversified"/>
    <x v="1"/>
    <x v="1"/>
    <x v="140"/>
    <x v="340"/>
    <x v="168"/>
    <n v="1967"/>
    <n v="1"/>
    <n v="1"/>
    <n v="125.08"/>
    <n v="19910000000000"/>
    <n v="77"/>
    <n v="9.4"/>
    <n v="59.2"/>
    <n v="1397715000"/>
    <x v="106"/>
    <d v="1967-01-01T00:00:00"/>
    <d v="2026-02-03T00:00:00"/>
  </r>
  <r>
    <n v="486"/>
    <x v="0"/>
    <x v="450"/>
    <x v="24"/>
    <s v="Milan"/>
    <s v="Luxury goods"/>
    <s v="Fashion &amp; Retail"/>
    <x v="1"/>
    <x v="0"/>
    <x v="373"/>
    <x v="341"/>
    <x v="169"/>
    <n v="1946"/>
    <n v="1"/>
    <n v="1"/>
    <n v="110.62"/>
    <n v="2001244392042"/>
    <n v="82.9"/>
    <n v="24.3"/>
    <n v="59.1"/>
    <n v="60297396"/>
    <x v="224"/>
    <d v="1946-01-01T00:00:00"/>
    <d v="2026-02-03T00:00:00"/>
  </r>
  <r>
    <n v="486"/>
    <x v="10"/>
    <x v="451"/>
    <x v="3"/>
    <s v="Mumbai"/>
    <s v="Paints"/>
    <s v="Manufacturing"/>
    <x v="0"/>
    <x v="0"/>
    <x v="374"/>
    <x v="342"/>
    <x v="169"/>
    <n v="1941"/>
    <n v="4"/>
    <n v="19"/>
    <n v="180.44"/>
    <n v="2611000000000"/>
    <n v="69.400000000000006"/>
    <n v="11.2"/>
    <n v="49.7"/>
    <n v="1366417754"/>
    <x v="422"/>
    <d v="1941-04-19T00:00:00"/>
    <d v="2026-02-03T00:00:00"/>
  </r>
  <r>
    <n v="486"/>
    <x v="3"/>
    <x v="452"/>
    <x v="1"/>
    <s v="Bloomfield Hills"/>
    <s v="Mortgage lender"/>
    <s v="Finance &amp; Investments"/>
    <x v="0"/>
    <x v="0"/>
    <x v="375"/>
    <x v="343"/>
    <x v="169"/>
    <n v="1980"/>
    <n v="1"/>
    <n v="6"/>
    <n v="117.24"/>
    <n v="21427700000000"/>
    <n v="78.5"/>
    <n v="9.6"/>
    <n v="36.6"/>
    <n v="328239523"/>
    <x v="423"/>
    <d v="1980-01-06T00:00:00"/>
    <d v="2026-02-03T00:00:00"/>
  </r>
  <r>
    <n v="486"/>
    <x v="2"/>
    <x v="453"/>
    <x v="21"/>
    <s v="Singapore"/>
    <s v="IT provider"/>
    <s v="Technology"/>
    <x v="1"/>
    <x v="0"/>
    <x v="376"/>
    <x v="344"/>
    <x v="169"/>
    <n v="1955"/>
    <n v="2"/>
    <n v="15"/>
    <n v="114.41"/>
    <n v="372062527489"/>
    <n v="83.1"/>
    <n v="13.1"/>
    <n v="21"/>
    <n v="5703569"/>
    <x v="424"/>
    <d v="1955-02-15T00:00:00"/>
    <d v="2026-02-03T00:00:00"/>
  </r>
  <r>
    <n v="486"/>
    <x v="6"/>
    <x v="454"/>
    <x v="5"/>
    <s v="Suzhou"/>
    <s v="Textiles, petrochemicals"/>
    <s v="Diversified"/>
    <x v="1"/>
    <x v="0"/>
    <x v="377"/>
    <x v="345"/>
    <x v="169"/>
    <n v="1965"/>
    <n v="1"/>
    <n v="1"/>
    <n v="125.08"/>
    <n v="19910000000000"/>
    <n v="77"/>
    <n v="9.4"/>
    <n v="59.2"/>
    <n v="1397715000"/>
    <x v="362"/>
    <d v="1965-01-01T00:00:00"/>
    <d v="2026-02-03T00:00:00"/>
  </r>
  <r>
    <n v="486"/>
    <x v="10"/>
    <x v="455"/>
    <x v="8"/>
    <s v="Lucerne"/>
    <s v="Kitchen appliances"/>
    <s v="Manufacturing"/>
    <x v="1"/>
    <x v="0"/>
    <x v="378"/>
    <x v="6"/>
    <x v="169"/>
    <n v="1946"/>
    <n v="2"/>
    <n v="5"/>
    <n v="99.55"/>
    <n v="703082435360"/>
    <n v="83.6"/>
    <n v="10.1"/>
    <n v="28.8"/>
    <n v="8574832"/>
    <x v="425"/>
    <d v="1946-02-05T00:00:00"/>
    <d v="2026-02-03T00:00:00"/>
  </r>
  <r>
    <n v="486"/>
    <x v="0"/>
    <x v="456"/>
    <x v="24"/>
    <s v="Milan"/>
    <s v="Luxury goods"/>
    <s v="Fashion &amp; Retail"/>
    <x v="0"/>
    <x v="1"/>
    <x v="379"/>
    <x v="346"/>
    <x v="169"/>
    <n v="1949"/>
    <n v="5"/>
    <n v="10"/>
    <n v="110.62"/>
    <n v="2001244392042"/>
    <n v="82.9"/>
    <n v="24.3"/>
    <n v="59.1"/>
    <n v="60297396"/>
    <x v="426"/>
    <d v="1949-05-10T00:00:00"/>
    <d v="2026-02-03T00:00:00"/>
  </r>
  <r>
    <n v="486"/>
    <x v="0"/>
    <x v="457"/>
    <x v="7"/>
    <s v="Passau"/>
    <s v="Consumer goods"/>
    <s v="Fashion &amp; Retail"/>
    <x v="0"/>
    <x v="0"/>
    <x v="380"/>
    <x v="306"/>
    <x v="169"/>
    <n v="1952"/>
    <n v="10"/>
    <n v="4"/>
    <n v="112.85"/>
    <n v="3845630030824"/>
    <n v="80.900000000000006"/>
    <n v="11.5"/>
    <n v="48.8"/>
    <n v="83132799"/>
    <x v="427"/>
    <d v="1952-10-04T00:00:00"/>
    <d v="2026-02-03T00:00:00"/>
  </r>
  <r>
    <n v="486"/>
    <x v="0"/>
    <x v="458"/>
    <x v="7"/>
    <s v="Munich"/>
    <s v="Consumer goods"/>
    <s v="Fashion &amp; Retail"/>
    <x v="0"/>
    <x v="0"/>
    <x v="381"/>
    <x v="347"/>
    <x v="169"/>
    <n v="1965"/>
    <n v="3"/>
    <n v="30"/>
    <n v="112.85"/>
    <n v="3845630030824"/>
    <n v="80.900000000000006"/>
    <n v="11.5"/>
    <n v="48.8"/>
    <n v="83132799"/>
    <x v="428"/>
    <d v="1965-03-30T00:00:00"/>
    <d v="2026-02-03T00:00:00"/>
  </r>
  <r>
    <n v="486"/>
    <x v="0"/>
    <x v="459"/>
    <x v="10"/>
    <s v="Vienna"/>
    <s v="Consumer goods"/>
    <s v="Fashion &amp; Retail"/>
    <x v="0"/>
    <x v="0"/>
    <x v="381"/>
    <x v="51"/>
    <x v="169"/>
    <n v="1963"/>
    <n v="7"/>
    <n v="13"/>
    <n v="118.06"/>
    <n v="446314739528"/>
    <n v="81.599999999999994"/>
    <n v="25.4"/>
    <n v="51.4"/>
    <n v="8877067"/>
    <x v="429"/>
    <d v="1963-07-13T00:00:00"/>
    <d v="2026-02-03T00:00:00"/>
  </r>
  <r>
    <n v="486"/>
    <x v="0"/>
    <x v="460"/>
    <x v="10"/>
    <s v="Vienna"/>
    <s v="Consumer goods"/>
    <s v="Fashion &amp; Retail"/>
    <x v="0"/>
    <x v="1"/>
    <x v="382"/>
    <x v="348"/>
    <x v="169"/>
    <n v="1951"/>
    <n v="10"/>
    <n v="8"/>
    <n v="118.06"/>
    <n v="446314739528"/>
    <n v="81.599999999999994"/>
    <n v="25.4"/>
    <n v="51.4"/>
    <n v="8877067"/>
    <x v="430"/>
    <d v="1951-10-08T00:00:00"/>
    <d v="2026-02-03T00:00:00"/>
  </r>
  <r>
    <n v="497"/>
    <x v="3"/>
    <x v="461"/>
    <x v="1"/>
    <s v="Darien"/>
    <s v="Finance"/>
    <s v="Finance &amp; Investments"/>
    <x v="1"/>
    <x v="0"/>
    <x v="383"/>
    <x v="349"/>
    <x v="170"/>
    <n v="1973"/>
    <n v="9"/>
    <n v="20"/>
    <n v="117.24"/>
    <n v="21427700000000"/>
    <n v="78.5"/>
    <n v="9.6"/>
    <n v="36.6"/>
    <n v="328239523"/>
    <x v="431"/>
    <d v="1973-09-20T00:00:00"/>
    <d v="2026-02-03T00:00:00"/>
  </r>
  <r>
    <n v="497"/>
    <x v="15"/>
    <x v="462"/>
    <x v="1"/>
    <s v="Los Angeles"/>
    <s v="Real estate"/>
    <s v="Real Estate"/>
    <x v="1"/>
    <x v="0"/>
    <x v="384"/>
    <x v="156"/>
    <x v="170"/>
    <n v="1959"/>
    <n v="1"/>
    <n v="7"/>
    <n v="117.24"/>
    <n v="21427700000000"/>
    <n v="78.5"/>
    <n v="9.6"/>
    <n v="36.6"/>
    <n v="328239523"/>
    <x v="432"/>
    <d v="1959-01-07T00:00:00"/>
    <d v="2026-02-03T00:00:00"/>
  </r>
  <r>
    <n v="497"/>
    <x v="10"/>
    <x v="463"/>
    <x v="38"/>
    <s v="Istanbul"/>
    <s v="Carpet"/>
    <s v="Manufacturing"/>
    <x v="1"/>
    <x v="0"/>
    <x v="385"/>
    <x v="350"/>
    <x v="170"/>
    <n v="1962"/>
    <n v="9"/>
    <n v="26"/>
    <n v="234.44"/>
    <n v="754411708203"/>
    <n v="77.400000000000006"/>
    <n v="17.899999999999999"/>
    <n v="42.3"/>
    <n v="83429615"/>
    <x v="433"/>
    <d v="1962-09-26T00:00:00"/>
    <d v="2026-02-03T00:00:00"/>
  </r>
  <r>
    <n v="497"/>
    <x v="3"/>
    <x v="464"/>
    <x v="1"/>
    <s v="Boston"/>
    <s v="Fidelity"/>
    <s v="Finance &amp; Investments"/>
    <x v="0"/>
    <x v="1"/>
    <x v="62"/>
    <x v="351"/>
    <x v="170"/>
    <n v="1963"/>
    <n v="5"/>
    <n v="7"/>
    <n v="117.24"/>
    <n v="21427700000000"/>
    <n v="78.5"/>
    <n v="9.6"/>
    <n v="36.6"/>
    <n v="328239523"/>
    <x v="434"/>
    <d v="1963-05-07T00:00:00"/>
    <d v="2026-02-03T00:00:00"/>
  </r>
  <r>
    <n v="497"/>
    <x v="3"/>
    <x v="465"/>
    <x v="1"/>
    <s v="Atherton"/>
    <s v="Venture capital"/>
    <s v="Finance &amp; Investments"/>
    <x v="1"/>
    <x v="0"/>
    <x v="386"/>
    <x v="352"/>
    <x v="170"/>
    <n v="1957"/>
    <n v="7"/>
    <n v="4"/>
    <n v="117.24"/>
    <n v="21427700000000"/>
    <n v="78.5"/>
    <n v="9.6"/>
    <n v="36.6"/>
    <n v="328239523"/>
    <x v="435"/>
    <d v="1957-07-04T00:00:00"/>
    <d v="2026-02-03T00:00:00"/>
  </r>
  <r>
    <n v="497"/>
    <x v="6"/>
    <x v="466"/>
    <x v="14"/>
    <s v="Jakarta"/>
    <s v="Petrochemicals"/>
    <s v="Diversified"/>
    <x v="0"/>
    <x v="0"/>
    <x v="387"/>
    <x v="353"/>
    <x v="170"/>
    <n v="1944"/>
    <n v="5"/>
    <n v="13"/>
    <n v="151.18"/>
    <n v="1119190780753"/>
    <n v="71.5"/>
    <n v="10.199999999999999"/>
    <n v="30.1"/>
    <n v="270203917"/>
    <x v="436"/>
    <d v="1944-05-13T00:00:00"/>
    <d v="2026-02-03T00:00:00"/>
  </r>
  <r>
    <n v="497"/>
    <x v="3"/>
    <x v="467"/>
    <x v="1"/>
    <s v="Chicago"/>
    <s v="Hotels, investments"/>
    <s v="Finance &amp; Investments"/>
    <x v="0"/>
    <x v="0"/>
    <x v="356"/>
    <x v="49"/>
    <x v="170"/>
    <n v="1950"/>
    <n v="6"/>
    <n v="6"/>
    <n v="117.24"/>
    <n v="21427700000000"/>
    <n v="78.5"/>
    <n v="9.6"/>
    <n v="36.6"/>
    <n v="328239523"/>
    <x v="437"/>
    <d v="1950-06-06T00:00:00"/>
    <d v="2026-02-03T00:00:00"/>
  </r>
  <r>
    <n v="497"/>
    <x v="7"/>
    <x v="468"/>
    <x v="1"/>
    <s v="Beverly Hills"/>
    <s v="Agriculture"/>
    <s v="Food &amp; Beverage"/>
    <x v="1"/>
    <x v="1"/>
    <x v="388"/>
    <x v="354"/>
    <x v="170"/>
    <n v="1943"/>
    <n v="1"/>
    <n v="2"/>
    <n v="117.24"/>
    <n v="21427700000000"/>
    <n v="78.5"/>
    <n v="9.6"/>
    <n v="36.6"/>
    <n v="328239523"/>
    <x v="438"/>
    <d v="1943-01-02T00:00:00"/>
    <d v="2026-02-03T00:00:00"/>
  </r>
  <r>
    <n v="497"/>
    <x v="7"/>
    <x v="469"/>
    <x v="1"/>
    <s v="Beverly Hills"/>
    <s v="Agriculture"/>
    <s v="Food &amp; Beverage"/>
    <x v="1"/>
    <x v="0"/>
    <x v="388"/>
    <x v="355"/>
    <x v="170"/>
    <n v="1936"/>
    <n v="12"/>
    <n v="24"/>
    <n v="117.24"/>
    <n v="21427700000000"/>
    <n v="78.5"/>
    <n v="9.6"/>
    <n v="36.6"/>
    <n v="328239523"/>
    <x v="439"/>
    <d v="1936-12-24T00:00:00"/>
    <d v="2026-02-03T00:00:00"/>
  </r>
  <r>
    <n v="497"/>
    <x v="14"/>
    <x v="470"/>
    <x v="1"/>
    <s v="Atlanta"/>
    <s v="Pest control"/>
    <s v="Service"/>
    <x v="0"/>
    <x v="0"/>
    <x v="389"/>
    <x v="356"/>
    <x v="170"/>
    <n v="1944"/>
    <n v="8"/>
    <n v="30"/>
    <n v="117.24"/>
    <n v="21427700000000"/>
    <n v="78.5"/>
    <n v="9.6"/>
    <n v="36.6"/>
    <n v="328239523"/>
    <x v="440"/>
    <d v="1944-08-30T00:00:00"/>
    <d v="2026-02-03T00:00:00"/>
  </r>
  <r>
    <n v="497"/>
    <x v="3"/>
    <x v="471"/>
    <x v="1"/>
    <s v="Chicago"/>
    <s v="Finance, asset management"/>
    <s v="Finance &amp; Investments"/>
    <x v="1"/>
    <x v="0"/>
    <x v="390"/>
    <x v="14"/>
    <x v="170"/>
    <n v="1960"/>
    <n v="5"/>
    <n v="22"/>
    <n v="117.24"/>
    <n v="21427700000000"/>
    <n v="78.5"/>
    <n v="9.6"/>
    <n v="36.6"/>
    <n v="328239523"/>
    <x v="441"/>
    <d v="1960-05-22T00:00:00"/>
    <d v="2026-02-03T00:00:00"/>
  </r>
  <r>
    <n v="497"/>
    <x v="10"/>
    <x v="472"/>
    <x v="1"/>
    <s v="Saint Petersburg"/>
    <s v="Furniture"/>
    <s v="Manufacturing"/>
    <x v="1"/>
    <x v="0"/>
    <x v="391"/>
    <x v="357"/>
    <x v="170"/>
    <n v="1941"/>
    <n v="5"/>
    <n v="19"/>
    <n v="117.24"/>
    <n v="21427700000000"/>
    <n v="78.5"/>
    <n v="9.6"/>
    <n v="36.6"/>
    <n v="328239523"/>
    <x v="442"/>
    <d v="1941-05-19T00:00:00"/>
    <d v="2026-02-03T00:00:00"/>
  </r>
  <r>
    <n v="497"/>
    <x v="7"/>
    <x v="473"/>
    <x v="7"/>
    <s v="Visbek"/>
    <s v="Poultry genetics"/>
    <s v="Food &amp; Beverage"/>
    <x v="1"/>
    <x v="0"/>
    <x v="392"/>
    <x v="358"/>
    <x v="170"/>
    <n v="1945"/>
    <n v="6"/>
    <n v="2"/>
    <n v="112.85"/>
    <n v="3845630030824"/>
    <n v="80.900000000000006"/>
    <n v="11.5"/>
    <n v="48.8"/>
    <n v="83132799"/>
    <x v="443"/>
    <d v="1945-06-02T00:00:00"/>
    <d v="2026-02-03T00:00:00"/>
  </r>
  <r>
    <n v="497"/>
    <x v="0"/>
    <x v="474"/>
    <x v="15"/>
    <s v="Abu Dhabi"/>
    <s v="Retail"/>
    <s v="Fashion &amp; Retail"/>
    <x v="1"/>
    <x v="0"/>
    <x v="393"/>
    <x v="359"/>
    <x v="170"/>
    <n v="1955"/>
    <n v="11"/>
    <n v="15"/>
    <n v="114.52"/>
    <n v="421142267938"/>
    <n v="77.8"/>
    <n v="0.1"/>
    <n v="15.9"/>
    <n v="9770529"/>
    <x v="444"/>
    <d v="1955-11-15T00:00:00"/>
    <d v="2026-02-0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1058E-38FB-43DF-AE53-DFC6DFD47A3B}"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8:E68"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axis="axisRow"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items count="395">
        <item x="161"/>
        <item x="329"/>
        <item x="169"/>
        <item x="20"/>
        <item x="29"/>
        <item x="326"/>
        <item x="346"/>
        <item x="86"/>
        <item x="68"/>
        <item x="8"/>
        <item x="133"/>
        <item x="36"/>
        <item x="37"/>
        <item x="321"/>
        <item x="360"/>
        <item x="131"/>
        <item x="0"/>
        <item x="275"/>
        <item x="170"/>
        <item x="181"/>
        <item x="9"/>
        <item x="317"/>
        <item x="244"/>
        <item x="141"/>
        <item x="261"/>
        <item x="310"/>
        <item x="276"/>
        <item x="166"/>
        <item x="373"/>
        <item x="61"/>
        <item x="224"/>
        <item x="10"/>
        <item x="2"/>
        <item x="103"/>
        <item x="311"/>
        <item x="187"/>
        <item x="236"/>
        <item x="34"/>
        <item x="208"/>
        <item x="299"/>
        <item x="6"/>
        <item x="330"/>
        <item x="383"/>
        <item x="164"/>
        <item x="305"/>
        <item x="331"/>
        <item x="214"/>
        <item x="82"/>
        <item x="13"/>
        <item x="269"/>
        <item x="347"/>
        <item x="4"/>
        <item x="262"/>
        <item x="237"/>
        <item x="338"/>
        <item x="142"/>
        <item x="229"/>
        <item x="384"/>
        <item x="300"/>
        <item x="301"/>
        <item x="361"/>
        <item x="332"/>
        <item x="96"/>
        <item x="106"/>
        <item x="176"/>
        <item x="167"/>
        <item x="339"/>
        <item x="374"/>
        <item x="230"/>
        <item x="277"/>
        <item x="79"/>
        <item x="194"/>
        <item x="362"/>
        <item x="221"/>
        <item x="143"/>
        <item x="231"/>
        <item x="71"/>
        <item x="95"/>
        <item x="118"/>
        <item x="263"/>
        <item x="104"/>
        <item x="264"/>
        <item x="248"/>
        <item x="204"/>
        <item x="99"/>
        <item x="19"/>
        <item x="45"/>
        <item x="182"/>
        <item x="322"/>
        <item x="312"/>
        <item x="144"/>
        <item x="278"/>
        <item x="123"/>
        <item x="168"/>
        <item x="3"/>
        <item x="363"/>
        <item x="127"/>
        <item x="385"/>
        <item x="149"/>
        <item x="255"/>
        <item x="209"/>
        <item x="364"/>
        <item x="26"/>
        <item x="205"/>
        <item x="286"/>
        <item x="56"/>
        <item x="70"/>
        <item x="279"/>
        <item x="107"/>
        <item x="306"/>
        <item x="116"/>
        <item x="365"/>
        <item x="69"/>
        <item x="318"/>
        <item x="5"/>
        <item x="232"/>
        <item x="225"/>
        <item x="77"/>
        <item x="177"/>
        <item x="102"/>
        <item x="323"/>
        <item x="239"/>
        <item x="327"/>
        <item x="256"/>
        <item x="319"/>
        <item x="97"/>
        <item x="249"/>
        <item x="30"/>
        <item x="157"/>
        <item x="257"/>
        <item x="206"/>
        <item x="340"/>
        <item x="74"/>
        <item x="250"/>
        <item x="343"/>
        <item x="188"/>
        <item x="53"/>
        <item x="55"/>
        <item x="108"/>
        <item x="328"/>
        <item x="145"/>
        <item x="287"/>
        <item x="38"/>
        <item x="352"/>
        <item x="80"/>
        <item x="348"/>
        <item x="375"/>
        <item x="189"/>
        <item x="313"/>
        <item x="119"/>
        <item x="333"/>
        <item x="162"/>
        <item x="81"/>
        <item x="62"/>
        <item x="110"/>
        <item x="111"/>
        <item x="128"/>
        <item x="270"/>
        <item x="87"/>
        <item x="195"/>
        <item x="139"/>
        <item x="120"/>
        <item x="158"/>
        <item x="251"/>
        <item x="43"/>
        <item x="21"/>
        <item x="16"/>
        <item x="376"/>
        <item x="207"/>
        <item x="114"/>
        <item x="109"/>
        <item x="302"/>
        <item x="137"/>
        <item x="238"/>
        <item x="171"/>
        <item x="288"/>
        <item x="115"/>
        <item x="25"/>
        <item x="314"/>
        <item x="271"/>
        <item x="353"/>
        <item x="354"/>
        <item x="289"/>
        <item x="355"/>
        <item x="46"/>
        <item x="65"/>
        <item x="265"/>
        <item x="215"/>
        <item x="216"/>
        <item x="159"/>
        <item x="92"/>
        <item x="386"/>
        <item x="307"/>
        <item x="72"/>
        <item x="258"/>
        <item x="290"/>
        <item x="60"/>
        <item x="125"/>
        <item x="160"/>
        <item x="240"/>
        <item x="344"/>
        <item x="134"/>
        <item x="48"/>
        <item x="334"/>
        <item x="112"/>
        <item x="349"/>
        <item x="163"/>
        <item x="28"/>
        <item x="245"/>
        <item x="172"/>
        <item x="210"/>
        <item x="366"/>
        <item x="27"/>
        <item x="291"/>
        <item x="31"/>
        <item x="50"/>
        <item x="83"/>
        <item x="367"/>
        <item x="320"/>
        <item x="377"/>
        <item x="63"/>
        <item x="335"/>
        <item x="280"/>
        <item x="266"/>
        <item x="78"/>
        <item x="281"/>
        <item x="67"/>
        <item x="199"/>
        <item x="183"/>
        <item x="84"/>
        <item x="217"/>
        <item x="1"/>
        <item x="47"/>
        <item x="136"/>
        <item x="233"/>
        <item x="303"/>
        <item x="292"/>
        <item x="105"/>
        <item x="272"/>
        <item x="184"/>
        <item x="196"/>
        <item x="12"/>
        <item x="273"/>
        <item x="178"/>
        <item x="282"/>
        <item x="11"/>
        <item x="91"/>
        <item x="387"/>
        <item x="197"/>
        <item x="165"/>
        <item x="259"/>
        <item x="293"/>
        <item x="185"/>
        <item x="94"/>
        <item x="186"/>
        <item x="88"/>
        <item x="49"/>
        <item x="378"/>
        <item x="24"/>
        <item x="90"/>
        <item x="190"/>
        <item x="58"/>
        <item x="54"/>
        <item x="252"/>
        <item x="246"/>
        <item x="121"/>
        <item x="379"/>
        <item x="129"/>
        <item x="173"/>
        <item x="356"/>
        <item x="130"/>
        <item x="153"/>
        <item x="222"/>
        <item x="73"/>
        <item x="51"/>
        <item x="150"/>
        <item x="200"/>
        <item x="241"/>
        <item x="146"/>
        <item x="117"/>
        <item x="57"/>
        <item x="180"/>
        <item x="368"/>
        <item x="247"/>
        <item x="234"/>
        <item x="380"/>
        <item x="381"/>
        <item x="382"/>
        <item x="388"/>
        <item x="341"/>
        <item x="308"/>
        <item x="267"/>
        <item x="44"/>
        <item x="201"/>
        <item x="389"/>
        <item x="294"/>
        <item x="122"/>
        <item x="357"/>
        <item x="324"/>
        <item x="126"/>
        <item x="132"/>
        <item x="211"/>
        <item x="154"/>
        <item x="155"/>
        <item x="85"/>
        <item x="358"/>
        <item x="135"/>
        <item x="226"/>
        <item x="315"/>
        <item x="147"/>
        <item x="242"/>
        <item x="148"/>
        <item x="350"/>
        <item x="89"/>
        <item x="227"/>
        <item x="156"/>
        <item x="174"/>
        <item x="23"/>
        <item x="42"/>
        <item x="52"/>
        <item x="359"/>
        <item x="93"/>
        <item x="218"/>
        <item x="191"/>
        <item x="283"/>
        <item x="41"/>
        <item x="369"/>
        <item x="202"/>
        <item x="98"/>
        <item x="219"/>
        <item x="7"/>
        <item x="175"/>
        <item x="212"/>
        <item x="295"/>
        <item x="325"/>
        <item x="59"/>
        <item x="345"/>
        <item x="296"/>
        <item x="152"/>
        <item x="235"/>
        <item x="370"/>
        <item x="336"/>
        <item x="243"/>
        <item x="124"/>
        <item x="274"/>
        <item x="220"/>
        <item x="253"/>
        <item x="66"/>
        <item x="371"/>
        <item x="138"/>
        <item x="75"/>
        <item x="304"/>
        <item x="297"/>
        <item x="18"/>
        <item x="76"/>
        <item x="228"/>
        <item x="113"/>
        <item x="342"/>
        <item x="298"/>
        <item x="213"/>
        <item x="284"/>
        <item x="192"/>
        <item x="309"/>
        <item x="193"/>
        <item x="179"/>
        <item x="268"/>
        <item x="390"/>
        <item x="17"/>
        <item x="391"/>
        <item x="64"/>
        <item x="316"/>
        <item x="260"/>
        <item x="101"/>
        <item x="35"/>
        <item x="392"/>
        <item x="337"/>
        <item x="372"/>
        <item x="285"/>
        <item x="151"/>
        <item x="39"/>
        <item x="100"/>
        <item x="33"/>
        <item x="203"/>
        <item x="223"/>
        <item x="40"/>
        <item x="393"/>
        <item x="32"/>
        <item x="22"/>
        <item x="140"/>
        <item x="198"/>
        <item x="14"/>
        <item x="351"/>
        <item x="254"/>
        <item x="15"/>
        <item t="default"/>
      </items>
    </pivotField>
    <pivotField showAll="0">
      <items count="361">
        <item x="106"/>
        <item x="153"/>
        <item x="196"/>
        <item x="62"/>
        <item x="282"/>
        <item x="36"/>
        <item x="171"/>
        <item x="293"/>
        <item x="69"/>
        <item x="19"/>
        <item x="102"/>
        <item x="11"/>
        <item x="236"/>
        <item x="120"/>
        <item x="152"/>
        <item x="71"/>
        <item x="50"/>
        <item x="190"/>
        <item x="291"/>
        <item x="124"/>
        <item x="168"/>
        <item x="315"/>
        <item x="331"/>
        <item x="226"/>
        <item x="251"/>
        <item x="144"/>
        <item x="169"/>
        <item x="104"/>
        <item x="157"/>
        <item x="234"/>
        <item x="0"/>
        <item x="5"/>
        <item x="193"/>
        <item x="166"/>
        <item x="288"/>
        <item x="285"/>
        <item x="81"/>
        <item x="7"/>
        <item x="187"/>
        <item x="181"/>
        <item x="134"/>
        <item x="97"/>
        <item x="15"/>
        <item x="96"/>
        <item x="189"/>
        <item x="100"/>
        <item x="246"/>
        <item x="272"/>
        <item x="140"/>
        <item x="76"/>
        <item x="40"/>
        <item x="59"/>
        <item x="286"/>
        <item x="79"/>
        <item x="263"/>
        <item x="20"/>
        <item x="265"/>
        <item x="295"/>
        <item x="95"/>
        <item x="105"/>
        <item x="24"/>
        <item x="91"/>
        <item x="321"/>
        <item x="249"/>
        <item x="239"/>
        <item x="83"/>
        <item x="352"/>
        <item x="178"/>
        <item x="138"/>
        <item x="267"/>
        <item x="257"/>
        <item x="351"/>
        <item x="1"/>
        <item x="61"/>
        <item x="316"/>
        <item x="237"/>
        <item x="73"/>
        <item x="358"/>
        <item x="164"/>
        <item x="173"/>
        <item x="25"/>
        <item x="10"/>
        <item x="311"/>
        <item x="245"/>
        <item x="320"/>
        <item x="154"/>
        <item x="301"/>
        <item x="356"/>
        <item x="21"/>
        <item x="325"/>
        <item x="78"/>
        <item x="139"/>
        <item x="108"/>
        <item x="37"/>
        <item x="195"/>
        <item x="46"/>
        <item x="38"/>
        <item x="44"/>
        <item x="125"/>
        <item x="27"/>
        <item x="309"/>
        <item x="269"/>
        <item x="184"/>
        <item x="240"/>
        <item x="300"/>
        <item x="98"/>
        <item x="345"/>
        <item x="121"/>
        <item x="77"/>
        <item x="110"/>
        <item x="223"/>
        <item x="186"/>
        <item x="247"/>
        <item x="220"/>
        <item x="30"/>
        <item x="225"/>
        <item x="199"/>
        <item x="350"/>
        <item x="103"/>
        <item x="250"/>
        <item x="57"/>
        <item x="235"/>
        <item x="122"/>
        <item x="170"/>
        <item x="221"/>
        <item x="255"/>
        <item x="55"/>
        <item x="28"/>
        <item x="148"/>
        <item x="58"/>
        <item x="314"/>
        <item x="308"/>
        <item x="211"/>
        <item x="217"/>
        <item x="2"/>
        <item x="136"/>
        <item x="66"/>
        <item x="107"/>
        <item x="182"/>
        <item x="99"/>
        <item x="198"/>
        <item x="231"/>
        <item x="329"/>
        <item x="296"/>
        <item x="17"/>
        <item x="260"/>
        <item x="224"/>
        <item x="126"/>
        <item x="29"/>
        <item x="281"/>
        <item x="90"/>
        <item x="174"/>
        <item x="317"/>
        <item x="256"/>
        <item x="129"/>
        <item x="16"/>
        <item x="328"/>
        <item x="89"/>
        <item x="204"/>
        <item x="326"/>
        <item x="336"/>
        <item x="32"/>
        <item x="175"/>
        <item x="273"/>
        <item x="26"/>
        <item x="313"/>
        <item x="101"/>
        <item x="197"/>
        <item x="48"/>
        <item x="238"/>
        <item x="270"/>
        <item x="80"/>
        <item x="3"/>
        <item x="118"/>
        <item x="200"/>
        <item x="35"/>
        <item x="142"/>
        <item x="344"/>
        <item x="183"/>
        <item x="67"/>
        <item x="63"/>
        <item x="312"/>
        <item x="216"/>
        <item x="158"/>
        <item x="172"/>
        <item x="334"/>
        <item x="294"/>
        <item x="64"/>
        <item x="354"/>
        <item x="359"/>
        <item x="52"/>
        <item x="278"/>
        <item x="342"/>
        <item x="188"/>
        <item x="248"/>
        <item x="131"/>
        <item x="339"/>
        <item x="299"/>
        <item x="218"/>
        <item x="203"/>
        <item x="159"/>
        <item x="14"/>
        <item x="60"/>
        <item x="276"/>
        <item x="343"/>
        <item x="347"/>
        <item x="323"/>
        <item x="290"/>
        <item x="151"/>
        <item x="6"/>
        <item x="304"/>
        <item x="330"/>
        <item x="135"/>
        <item x="113"/>
        <item x="266"/>
        <item x="31"/>
        <item x="335"/>
        <item x="346"/>
        <item x="8"/>
        <item x="302"/>
        <item x="289"/>
        <item x="210"/>
        <item x="233"/>
        <item x="205"/>
        <item x="307"/>
        <item x="192"/>
        <item x="147"/>
        <item x="318"/>
        <item x="208"/>
        <item x="160"/>
        <item x="206"/>
        <item x="341"/>
        <item x="337"/>
        <item x="228"/>
        <item x="258"/>
        <item x="119"/>
        <item x="22"/>
        <item x="128"/>
        <item x="259"/>
        <item x="155"/>
        <item x="332"/>
        <item x="179"/>
        <item x="277"/>
        <item x="353"/>
        <item x="242"/>
        <item x="53"/>
        <item x="93"/>
        <item x="292"/>
        <item x="39"/>
        <item x="284"/>
        <item x="252"/>
        <item x="212"/>
        <item x="271"/>
        <item x="185"/>
        <item x="72"/>
        <item x="322"/>
        <item x="41"/>
        <item x="87"/>
        <item x="348"/>
        <item x="116"/>
        <item x="222"/>
        <item x="130"/>
        <item x="177"/>
        <item x="156"/>
        <item x="319"/>
        <item x="18"/>
        <item x="92"/>
        <item x="207"/>
        <item x="33"/>
        <item x="213"/>
        <item x="149"/>
        <item x="253"/>
        <item x="167"/>
        <item x="357"/>
        <item x="262"/>
        <item x="84"/>
        <item x="261"/>
        <item x="114"/>
        <item x="82"/>
        <item x="141"/>
        <item x="12"/>
        <item x="338"/>
        <item x="117"/>
        <item x="13"/>
        <item x="254"/>
        <item x="215"/>
        <item x="283"/>
        <item x="227"/>
        <item x="94"/>
        <item x="47"/>
        <item x="209"/>
        <item x="214"/>
        <item x="194"/>
        <item x="264"/>
        <item x="133"/>
        <item x="274"/>
        <item x="230"/>
        <item x="112"/>
        <item x="298"/>
        <item x="51"/>
        <item x="42"/>
        <item x="9"/>
        <item x="232"/>
        <item x="355"/>
        <item x="132"/>
        <item x="310"/>
        <item x="43"/>
        <item x="34"/>
        <item x="241"/>
        <item x="68"/>
        <item x="243"/>
        <item x="150"/>
        <item x="176"/>
        <item x="327"/>
        <item x="280"/>
        <item x="86"/>
        <item x="201"/>
        <item x="49"/>
        <item x="275"/>
        <item x="202"/>
        <item x="349"/>
        <item x="305"/>
        <item x="287"/>
        <item x="111"/>
        <item x="70"/>
        <item x="161"/>
        <item x="123"/>
        <item x="85"/>
        <item x="162"/>
        <item x="324"/>
        <item x="137"/>
        <item x="163"/>
        <item x="146"/>
        <item x="54"/>
        <item x="4"/>
        <item x="65"/>
        <item x="333"/>
        <item x="244"/>
        <item x="74"/>
        <item x="45"/>
        <item x="306"/>
        <item x="279"/>
        <item x="56"/>
        <item x="109"/>
        <item x="165"/>
        <item x="88"/>
        <item x="303"/>
        <item x="143"/>
        <item x="340"/>
        <item x="115"/>
        <item x="23"/>
        <item x="75"/>
        <item x="229"/>
        <item x="219"/>
        <item x="145"/>
        <item x="268"/>
        <item x="297"/>
        <item x="191"/>
        <item x="180"/>
        <item x="127"/>
        <item t="default"/>
      </items>
    </pivotField>
    <pivotField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65" showAll="0"/>
    <pivotField showAll="0"/>
    <pivotField showAll="0"/>
    <pivotField showAll="0"/>
    <pivotField showAll="0"/>
    <pivotField showAll="0">
      <items count="11">
        <item x="0"/>
        <item x="1"/>
        <item x="2"/>
        <item x="3"/>
        <item x="4"/>
        <item x="5"/>
        <item x="6"/>
        <item x="7"/>
        <item x="8"/>
        <item x="9"/>
        <item t="default"/>
      </items>
    </pivotField>
    <pivotField numFmtId="14" showAll="0"/>
    <pivotField numFmtId="14"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Number of billionairs" fld="2" subtotal="count" baseField="3" baseItem="0"/>
  </dataFields>
  <chartFormats count="3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0" format="20" series="1">
      <pivotArea type="data" outline="0" fieldPosition="0">
        <references count="2">
          <reference field="4294967294" count="1" selected="0">
            <x v="0"/>
          </reference>
          <reference field="3" count="1" selected="0">
            <x v="20"/>
          </reference>
        </references>
      </pivotArea>
    </chartFormat>
    <chartFormat chart="0" format="21" series="1">
      <pivotArea type="data" outline="0" fieldPosition="0">
        <references count="2">
          <reference field="4294967294" count="1" selected="0">
            <x v="0"/>
          </reference>
          <reference field="3" count="1" selected="0">
            <x v="21"/>
          </reference>
        </references>
      </pivotArea>
    </chartFormat>
    <chartFormat chart="0" format="22" series="1">
      <pivotArea type="data" outline="0" fieldPosition="0">
        <references count="2">
          <reference field="4294967294" count="1" selected="0">
            <x v="0"/>
          </reference>
          <reference field="3" count="1" selected="0">
            <x v="22"/>
          </reference>
        </references>
      </pivotArea>
    </chartFormat>
    <chartFormat chart="0" format="23" series="1">
      <pivotArea type="data" outline="0" fieldPosition="0">
        <references count="2">
          <reference field="4294967294" count="1" selected="0">
            <x v="0"/>
          </reference>
          <reference field="3" count="1" selected="0">
            <x v="23"/>
          </reference>
        </references>
      </pivotArea>
    </chartFormat>
    <chartFormat chart="0" format="24" series="1">
      <pivotArea type="data" outline="0" fieldPosition="0">
        <references count="2">
          <reference field="4294967294" count="1" selected="0">
            <x v="0"/>
          </reference>
          <reference field="3" count="1" selected="0">
            <x v="24"/>
          </reference>
        </references>
      </pivotArea>
    </chartFormat>
    <chartFormat chart="0" format="25" series="1">
      <pivotArea type="data" outline="0" fieldPosition="0">
        <references count="2">
          <reference field="4294967294" count="1" selected="0">
            <x v="0"/>
          </reference>
          <reference field="3" count="1" selected="0">
            <x v="25"/>
          </reference>
        </references>
      </pivotArea>
    </chartFormat>
    <chartFormat chart="0" format="26" series="1">
      <pivotArea type="data" outline="0" fieldPosition="0">
        <references count="2">
          <reference field="4294967294" count="1" selected="0">
            <x v="0"/>
          </reference>
          <reference field="3" count="1" selected="0">
            <x v="26"/>
          </reference>
        </references>
      </pivotArea>
    </chartFormat>
    <chartFormat chart="0" format="27" series="1">
      <pivotArea type="data" outline="0" fieldPosition="0">
        <references count="2">
          <reference field="4294967294" count="1" selected="0">
            <x v="0"/>
          </reference>
          <reference field="3" count="1" selected="0">
            <x v="27"/>
          </reference>
        </references>
      </pivotArea>
    </chartFormat>
    <chartFormat chart="0" format="28" series="1">
      <pivotArea type="data" outline="0" fieldPosition="0">
        <references count="2">
          <reference field="4294967294" count="1" selected="0">
            <x v="0"/>
          </reference>
          <reference field="3" count="1" selected="0">
            <x v="28"/>
          </reference>
        </references>
      </pivotArea>
    </chartFormat>
    <chartFormat chart="0" format="29" series="1">
      <pivotArea type="data" outline="0" fieldPosition="0">
        <references count="2">
          <reference field="4294967294" count="1" selected="0">
            <x v="0"/>
          </reference>
          <reference field="3" count="1" selected="0">
            <x v="29"/>
          </reference>
        </references>
      </pivotArea>
    </chartFormat>
    <chartFormat chart="0" format="30" series="1">
      <pivotArea type="data" outline="0" fieldPosition="0">
        <references count="2">
          <reference field="4294967294" count="1" selected="0">
            <x v="0"/>
          </reference>
          <reference field="3" count="1" selected="0">
            <x v="30"/>
          </reference>
        </references>
      </pivotArea>
    </chartFormat>
    <chartFormat chart="0" format="31" series="1">
      <pivotArea type="data" outline="0" fieldPosition="0">
        <references count="2">
          <reference field="4294967294" count="1" selected="0">
            <x v="0"/>
          </reference>
          <reference field="3" count="1" selected="0">
            <x v="31"/>
          </reference>
        </references>
      </pivotArea>
    </chartFormat>
    <chartFormat chart="0" format="32" series="1">
      <pivotArea type="data" outline="0" fieldPosition="0">
        <references count="2">
          <reference field="4294967294" count="1" selected="0">
            <x v="0"/>
          </reference>
          <reference field="3" count="1" selected="0">
            <x v="32"/>
          </reference>
        </references>
      </pivotArea>
    </chartFormat>
    <chartFormat chart="0" format="33" series="1">
      <pivotArea type="data" outline="0" fieldPosition="0">
        <references count="2">
          <reference field="4294967294" count="1" selected="0">
            <x v="0"/>
          </reference>
          <reference field="3" count="1" selected="0">
            <x v="33"/>
          </reference>
        </references>
      </pivotArea>
    </chartFormat>
    <chartFormat chart="0" format="34" series="1">
      <pivotArea type="data" outline="0" fieldPosition="0">
        <references count="2">
          <reference field="4294967294" count="1" selected="0">
            <x v="0"/>
          </reference>
          <reference field="3" count="1" selected="0">
            <x v="34"/>
          </reference>
        </references>
      </pivotArea>
    </chartFormat>
    <chartFormat chart="0" format="35" series="1">
      <pivotArea type="data" outline="0" fieldPosition="0">
        <references count="2">
          <reference field="4294967294" count="1" selected="0">
            <x v="0"/>
          </reference>
          <reference field="3" count="1" selected="0">
            <x v="35"/>
          </reference>
        </references>
      </pivotArea>
    </chartFormat>
    <chartFormat chart="0" format="36" series="1">
      <pivotArea type="data" outline="0" fieldPosition="0">
        <references count="2">
          <reference field="4294967294" count="1" selected="0">
            <x v="0"/>
          </reference>
          <reference field="3" count="1" selected="0">
            <x v="36"/>
          </reference>
        </references>
      </pivotArea>
    </chartFormat>
    <chartFormat chart="0" format="37" series="1">
      <pivotArea type="data" outline="0" fieldPosition="0">
        <references count="2">
          <reference field="4294967294" count="1" selected="0">
            <x v="0"/>
          </reference>
          <reference field="3" count="1" selected="0">
            <x v="37"/>
          </reference>
        </references>
      </pivotArea>
    </chartFormat>
    <chartFormat chart="0" format="38" series="1">
      <pivotArea type="data" outline="0" fieldPosition="0">
        <references count="2">
          <reference field="4294967294" count="1" selected="0">
            <x v="0"/>
          </reference>
          <reference field="3"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EF0981-7376-4785-9DA7-9B924FD738A4}"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7:E25"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items count="395">
        <item x="161"/>
        <item x="329"/>
        <item x="169"/>
        <item x="20"/>
        <item x="29"/>
        <item x="326"/>
        <item x="346"/>
        <item x="86"/>
        <item x="68"/>
        <item x="8"/>
        <item x="133"/>
        <item x="36"/>
        <item x="37"/>
        <item x="321"/>
        <item x="360"/>
        <item x="131"/>
        <item x="0"/>
        <item x="275"/>
        <item x="170"/>
        <item x="181"/>
        <item x="9"/>
        <item x="317"/>
        <item x="244"/>
        <item x="141"/>
        <item x="261"/>
        <item x="310"/>
        <item x="276"/>
        <item x="166"/>
        <item x="373"/>
        <item x="61"/>
        <item x="224"/>
        <item x="10"/>
        <item x="2"/>
        <item x="103"/>
        <item x="311"/>
        <item x="187"/>
        <item x="236"/>
        <item x="34"/>
        <item x="208"/>
        <item x="299"/>
        <item x="6"/>
        <item x="330"/>
        <item x="383"/>
        <item x="164"/>
        <item x="305"/>
        <item x="331"/>
        <item x="214"/>
        <item x="82"/>
        <item x="13"/>
        <item x="269"/>
        <item x="347"/>
        <item x="4"/>
        <item x="262"/>
        <item x="237"/>
        <item x="338"/>
        <item x="142"/>
        <item x="229"/>
        <item x="384"/>
        <item x="300"/>
        <item x="301"/>
        <item x="361"/>
        <item x="332"/>
        <item x="96"/>
        <item x="106"/>
        <item x="176"/>
        <item x="167"/>
        <item x="339"/>
        <item x="374"/>
        <item x="230"/>
        <item x="277"/>
        <item x="79"/>
        <item x="194"/>
        <item x="362"/>
        <item x="221"/>
        <item x="143"/>
        <item x="231"/>
        <item x="71"/>
        <item x="95"/>
        <item x="118"/>
        <item x="263"/>
        <item x="104"/>
        <item x="264"/>
        <item x="248"/>
        <item x="204"/>
        <item x="99"/>
        <item x="19"/>
        <item x="45"/>
        <item x="182"/>
        <item x="322"/>
        <item x="312"/>
        <item x="144"/>
        <item x="278"/>
        <item x="123"/>
        <item x="168"/>
        <item x="3"/>
        <item x="363"/>
        <item x="127"/>
        <item x="385"/>
        <item x="149"/>
        <item x="255"/>
        <item x="209"/>
        <item x="364"/>
        <item x="26"/>
        <item x="205"/>
        <item x="286"/>
        <item x="56"/>
        <item x="70"/>
        <item x="279"/>
        <item x="107"/>
        <item x="306"/>
        <item x="116"/>
        <item x="365"/>
        <item x="69"/>
        <item x="318"/>
        <item x="5"/>
        <item x="232"/>
        <item x="225"/>
        <item x="77"/>
        <item x="177"/>
        <item x="102"/>
        <item x="323"/>
        <item x="239"/>
        <item x="327"/>
        <item x="256"/>
        <item x="319"/>
        <item x="97"/>
        <item x="249"/>
        <item x="30"/>
        <item x="157"/>
        <item x="257"/>
        <item x="206"/>
        <item x="340"/>
        <item x="74"/>
        <item x="250"/>
        <item x="343"/>
        <item x="188"/>
        <item x="53"/>
        <item x="55"/>
        <item x="108"/>
        <item x="328"/>
        <item x="145"/>
        <item x="287"/>
        <item x="38"/>
        <item x="352"/>
        <item x="80"/>
        <item x="348"/>
        <item x="375"/>
        <item x="189"/>
        <item x="313"/>
        <item x="119"/>
        <item x="333"/>
        <item x="162"/>
        <item x="81"/>
        <item x="62"/>
        <item x="110"/>
        <item x="111"/>
        <item x="128"/>
        <item x="270"/>
        <item x="87"/>
        <item x="195"/>
        <item x="139"/>
        <item x="120"/>
        <item x="158"/>
        <item x="251"/>
        <item x="43"/>
        <item x="21"/>
        <item x="16"/>
        <item x="376"/>
        <item x="207"/>
        <item x="114"/>
        <item x="109"/>
        <item x="302"/>
        <item x="137"/>
        <item x="238"/>
        <item x="171"/>
        <item x="288"/>
        <item x="115"/>
        <item x="25"/>
        <item x="314"/>
        <item x="271"/>
        <item x="353"/>
        <item x="354"/>
        <item x="289"/>
        <item x="355"/>
        <item x="46"/>
        <item x="65"/>
        <item x="265"/>
        <item x="215"/>
        <item x="216"/>
        <item x="159"/>
        <item x="92"/>
        <item x="386"/>
        <item x="307"/>
        <item x="72"/>
        <item x="258"/>
        <item x="290"/>
        <item x="60"/>
        <item x="125"/>
        <item x="160"/>
        <item x="240"/>
        <item x="344"/>
        <item x="134"/>
        <item x="48"/>
        <item x="334"/>
        <item x="112"/>
        <item x="349"/>
        <item x="163"/>
        <item x="28"/>
        <item x="245"/>
        <item x="172"/>
        <item x="210"/>
        <item x="366"/>
        <item x="27"/>
        <item x="291"/>
        <item x="31"/>
        <item x="50"/>
        <item x="83"/>
        <item x="367"/>
        <item x="320"/>
        <item x="377"/>
        <item x="63"/>
        <item x="335"/>
        <item x="280"/>
        <item x="266"/>
        <item x="78"/>
        <item x="281"/>
        <item x="67"/>
        <item x="199"/>
        <item x="183"/>
        <item x="84"/>
        <item x="217"/>
        <item x="1"/>
        <item x="47"/>
        <item x="136"/>
        <item x="233"/>
        <item x="303"/>
        <item x="292"/>
        <item x="105"/>
        <item x="272"/>
        <item x="184"/>
        <item x="196"/>
        <item x="12"/>
        <item x="273"/>
        <item x="178"/>
        <item x="282"/>
        <item x="11"/>
        <item x="91"/>
        <item x="387"/>
        <item x="197"/>
        <item x="165"/>
        <item x="259"/>
        <item x="293"/>
        <item x="185"/>
        <item x="94"/>
        <item x="186"/>
        <item x="88"/>
        <item x="49"/>
        <item x="378"/>
        <item x="24"/>
        <item x="90"/>
        <item x="190"/>
        <item x="58"/>
        <item x="54"/>
        <item x="252"/>
        <item x="246"/>
        <item x="121"/>
        <item x="379"/>
        <item x="129"/>
        <item x="173"/>
        <item x="356"/>
        <item x="130"/>
        <item x="153"/>
        <item x="222"/>
        <item x="73"/>
        <item x="51"/>
        <item x="150"/>
        <item x="200"/>
        <item x="241"/>
        <item x="146"/>
        <item x="117"/>
        <item x="57"/>
        <item x="180"/>
        <item x="368"/>
        <item x="247"/>
        <item x="234"/>
        <item x="380"/>
        <item x="381"/>
        <item x="382"/>
        <item x="388"/>
        <item x="341"/>
        <item x="308"/>
        <item x="267"/>
        <item x="44"/>
        <item x="201"/>
        <item x="389"/>
        <item x="294"/>
        <item x="122"/>
        <item x="357"/>
        <item x="324"/>
        <item x="126"/>
        <item x="132"/>
        <item x="211"/>
        <item x="154"/>
        <item x="155"/>
        <item x="85"/>
        <item x="358"/>
        <item x="135"/>
        <item x="226"/>
        <item x="315"/>
        <item x="147"/>
        <item x="242"/>
        <item x="148"/>
        <item x="350"/>
        <item x="89"/>
        <item x="227"/>
        <item x="156"/>
        <item x="174"/>
        <item x="23"/>
        <item x="42"/>
        <item x="52"/>
        <item x="359"/>
        <item x="93"/>
        <item x="218"/>
        <item x="191"/>
        <item x="283"/>
        <item x="41"/>
        <item x="369"/>
        <item x="202"/>
        <item x="98"/>
        <item x="219"/>
        <item x="7"/>
        <item x="175"/>
        <item x="212"/>
        <item x="295"/>
        <item x="325"/>
        <item x="59"/>
        <item x="345"/>
        <item x="296"/>
        <item x="152"/>
        <item x="235"/>
        <item x="370"/>
        <item x="336"/>
        <item x="243"/>
        <item x="124"/>
        <item x="274"/>
        <item x="220"/>
        <item x="253"/>
        <item x="66"/>
        <item x="371"/>
        <item x="138"/>
        <item x="75"/>
        <item x="304"/>
        <item x="297"/>
        <item x="18"/>
        <item x="76"/>
        <item x="228"/>
        <item x="113"/>
        <item x="342"/>
        <item x="298"/>
        <item x="213"/>
        <item x="284"/>
        <item x="192"/>
        <item x="309"/>
        <item x="193"/>
        <item x="179"/>
        <item x="268"/>
        <item x="390"/>
        <item x="17"/>
        <item x="391"/>
        <item x="64"/>
        <item x="316"/>
        <item x="260"/>
        <item x="101"/>
        <item x="35"/>
        <item x="392"/>
        <item x="337"/>
        <item x="372"/>
        <item x="285"/>
        <item x="151"/>
        <item x="39"/>
        <item x="100"/>
        <item x="33"/>
        <item x="203"/>
        <item x="223"/>
        <item x="40"/>
        <item x="393"/>
        <item x="32"/>
        <item x="22"/>
        <item x="140"/>
        <item x="198"/>
        <item x="14"/>
        <item x="351"/>
        <item x="254"/>
        <item x="15"/>
        <item t="default"/>
      </items>
    </pivotField>
    <pivotField showAll="0">
      <items count="361">
        <item x="106"/>
        <item x="153"/>
        <item x="196"/>
        <item x="62"/>
        <item x="282"/>
        <item x="36"/>
        <item x="171"/>
        <item x="293"/>
        <item x="69"/>
        <item x="19"/>
        <item x="102"/>
        <item x="11"/>
        <item x="236"/>
        <item x="120"/>
        <item x="152"/>
        <item x="71"/>
        <item x="50"/>
        <item x="190"/>
        <item x="291"/>
        <item x="124"/>
        <item x="168"/>
        <item x="315"/>
        <item x="331"/>
        <item x="226"/>
        <item x="251"/>
        <item x="144"/>
        <item x="169"/>
        <item x="104"/>
        <item x="157"/>
        <item x="234"/>
        <item x="0"/>
        <item x="5"/>
        <item x="193"/>
        <item x="166"/>
        <item x="288"/>
        <item x="285"/>
        <item x="81"/>
        <item x="7"/>
        <item x="187"/>
        <item x="181"/>
        <item x="134"/>
        <item x="97"/>
        <item x="15"/>
        <item x="96"/>
        <item x="189"/>
        <item x="100"/>
        <item x="246"/>
        <item x="272"/>
        <item x="140"/>
        <item x="76"/>
        <item x="40"/>
        <item x="59"/>
        <item x="286"/>
        <item x="79"/>
        <item x="263"/>
        <item x="20"/>
        <item x="265"/>
        <item x="295"/>
        <item x="95"/>
        <item x="105"/>
        <item x="24"/>
        <item x="91"/>
        <item x="321"/>
        <item x="249"/>
        <item x="239"/>
        <item x="83"/>
        <item x="352"/>
        <item x="178"/>
        <item x="138"/>
        <item x="267"/>
        <item x="257"/>
        <item x="351"/>
        <item x="1"/>
        <item x="61"/>
        <item x="316"/>
        <item x="237"/>
        <item x="73"/>
        <item x="358"/>
        <item x="164"/>
        <item x="173"/>
        <item x="25"/>
        <item x="10"/>
        <item x="311"/>
        <item x="245"/>
        <item x="320"/>
        <item x="154"/>
        <item x="301"/>
        <item x="356"/>
        <item x="21"/>
        <item x="325"/>
        <item x="78"/>
        <item x="139"/>
        <item x="108"/>
        <item x="37"/>
        <item x="195"/>
        <item x="46"/>
        <item x="38"/>
        <item x="44"/>
        <item x="125"/>
        <item x="27"/>
        <item x="309"/>
        <item x="269"/>
        <item x="184"/>
        <item x="240"/>
        <item x="300"/>
        <item x="98"/>
        <item x="345"/>
        <item x="121"/>
        <item x="77"/>
        <item x="110"/>
        <item x="223"/>
        <item x="186"/>
        <item x="247"/>
        <item x="220"/>
        <item x="30"/>
        <item x="225"/>
        <item x="199"/>
        <item x="350"/>
        <item x="103"/>
        <item x="250"/>
        <item x="57"/>
        <item x="235"/>
        <item x="122"/>
        <item x="170"/>
        <item x="221"/>
        <item x="255"/>
        <item x="55"/>
        <item x="28"/>
        <item x="148"/>
        <item x="58"/>
        <item x="314"/>
        <item x="308"/>
        <item x="211"/>
        <item x="217"/>
        <item x="2"/>
        <item x="136"/>
        <item x="66"/>
        <item x="107"/>
        <item x="182"/>
        <item x="99"/>
        <item x="198"/>
        <item x="231"/>
        <item x="329"/>
        <item x="296"/>
        <item x="17"/>
        <item x="260"/>
        <item x="224"/>
        <item x="126"/>
        <item x="29"/>
        <item x="281"/>
        <item x="90"/>
        <item x="174"/>
        <item x="317"/>
        <item x="256"/>
        <item x="129"/>
        <item x="16"/>
        <item x="328"/>
        <item x="89"/>
        <item x="204"/>
        <item x="326"/>
        <item x="336"/>
        <item x="32"/>
        <item x="175"/>
        <item x="273"/>
        <item x="26"/>
        <item x="313"/>
        <item x="101"/>
        <item x="197"/>
        <item x="48"/>
        <item x="238"/>
        <item x="270"/>
        <item x="80"/>
        <item x="3"/>
        <item x="118"/>
        <item x="200"/>
        <item x="35"/>
        <item x="142"/>
        <item x="344"/>
        <item x="183"/>
        <item x="67"/>
        <item x="63"/>
        <item x="312"/>
        <item x="216"/>
        <item x="158"/>
        <item x="172"/>
        <item x="334"/>
        <item x="294"/>
        <item x="64"/>
        <item x="354"/>
        <item x="359"/>
        <item x="52"/>
        <item x="278"/>
        <item x="342"/>
        <item x="188"/>
        <item x="248"/>
        <item x="131"/>
        <item x="339"/>
        <item x="299"/>
        <item x="218"/>
        <item x="203"/>
        <item x="159"/>
        <item x="14"/>
        <item x="60"/>
        <item x="276"/>
        <item x="343"/>
        <item x="347"/>
        <item x="323"/>
        <item x="290"/>
        <item x="151"/>
        <item x="6"/>
        <item x="304"/>
        <item x="330"/>
        <item x="135"/>
        <item x="113"/>
        <item x="266"/>
        <item x="31"/>
        <item x="335"/>
        <item x="346"/>
        <item x="8"/>
        <item x="302"/>
        <item x="289"/>
        <item x="210"/>
        <item x="233"/>
        <item x="205"/>
        <item x="307"/>
        <item x="192"/>
        <item x="147"/>
        <item x="318"/>
        <item x="208"/>
        <item x="160"/>
        <item x="206"/>
        <item x="341"/>
        <item x="337"/>
        <item x="228"/>
        <item x="258"/>
        <item x="119"/>
        <item x="22"/>
        <item x="128"/>
        <item x="259"/>
        <item x="155"/>
        <item x="332"/>
        <item x="179"/>
        <item x="277"/>
        <item x="353"/>
        <item x="242"/>
        <item x="53"/>
        <item x="93"/>
        <item x="292"/>
        <item x="39"/>
        <item x="284"/>
        <item x="252"/>
        <item x="212"/>
        <item x="271"/>
        <item x="185"/>
        <item x="72"/>
        <item x="322"/>
        <item x="41"/>
        <item x="87"/>
        <item x="348"/>
        <item x="116"/>
        <item x="222"/>
        <item x="130"/>
        <item x="177"/>
        <item x="156"/>
        <item x="319"/>
        <item x="18"/>
        <item x="92"/>
        <item x="207"/>
        <item x="33"/>
        <item x="213"/>
        <item x="149"/>
        <item x="253"/>
        <item x="167"/>
        <item x="357"/>
        <item x="262"/>
        <item x="84"/>
        <item x="261"/>
        <item x="114"/>
        <item x="82"/>
        <item x="141"/>
        <item x="12"/>
        <item x="338"/>
        <item x="117"/>
        <item x="13"/>
        <item x="254"/>
        <item x="215"/>
        <item x="283"/>
        <item x="227"/>
        <item x="94"/>
        <item x="47"/>
        <item x="209"/>
        <item x="214"/>
        <item x="194"/>
        <item x="264"/>
        <item x="133"/>
        <item x="274"/>
        <item x="230"/>
        <item x="112"/>
        <item x="298"/>
        <item x="51"/>
        <item x="42"/>
        <item x="9"/>
        <item x="232"/>
        <item x="355"/>
        <item x="132"/>
        <item x="310"/>
        <item x="43"/>
        <item x="34"/>
        <item x="241"/>
        <item x="68"/>
        <item x="243"/>
        <item x="150"/>
        <item x="176"/>
        <item x="327"/>
        <item x="280"/>
        <item x="86"/>
        <item x="201"/>
        <item x="49"/>
        <item x="275"/>
        <item x="202"/>
        <item x="349"/>
        <item x="305"/>
        <item x="287"/>
        <item x="111"/>
        <item x="70"/>
        <item x="161"/>
        <item x="123"/>
        <item x="85"/>
        <item x="162"/>
        <item x="324"/>
        <item x="137"/>
        <item x="163"/>
        <item x="146"/>
        <item x="54"/>
        <item x="4"/>
        <item x="65"/>
        <item x="333"/>
        <item x="244"/>
        <item x="74"/>
        <item x="45"/>
        <item x="306"/>
        <item x="279"/>
        <item x="56"/>
        <item x="109"/>
        <item x="165"/>
        <item x="88"/>
        <item x="303"/>
        <item x="143"/>
        <item x="340"/>
        <item x="115"/>
        <item x="23"/>
        <item x="75"/>
        <item x="229"/>
        <item x="219"/>
        <item x="145"/>
        <item x="268"/>
        <item x="297"/>
        <item x="191"/>
        <item x="180"/>
        <item x="127"/>
        <item t="default"/>
      </items>
    </pivotField>
    <pivotField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65" showAll="0"/>
    <pivotField showAll="0"/>
    <pivotField showAll="0"/>
    <pivotField showAll="0"/>
    <pivotField showAll="0"/>
    <pivotField axis="axisRow" dataField="1" showAll="0">
      <items count="11">
        <item x="0"/>
        <item x="1"/>
        <item x="2"/>
        <item x="3"/>
        <item x="4"/>
        <item x="5"/>
        <item x="6"/>
        <item x="7"/>
        <item x="8"/>
        <item x="9"/>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Number by age group" fld="21" subtotal="count" baseField="21" baseItem="1"/>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7"/>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123EEF-1A10-46A8-8FBC-C5615713E249}"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items count="395">
        <item x="161"/>
        <item x="329"/>
        <item x="169"/>
        <item x="20"/>
        <item x="29"/>
        <item x="326"/>
        <item x="346"/>
        <item x="86"/>
        <item x="68"/>
        <item x="8"/>
        <item x="133"/>
        <item x="36"/>
        <item x="37"/>
        <item x="321"/>
        <item x="360"/>
        <item x="131"/>
        <item x="0"/>
        <item x="275"/>
        <item x="170"/>
        <item x="181"/>
        <item x="9"/>
        <item x="317"/>
        <item x="244"/>
        <item x="141"/>
        <item x="261"/>
        <item x="310"/>
        <item x="276"/>
        <item x="166"/>
        <item x="373"/>
        <item x="61"/>
        <item x="224"/>
        <item x="10"/>
        <item x="2"/>
        <item x="103"/>
        <item x="311"/>
        <item x="187"/>
        <item x="236"/>
        <item x="34"/>
        <item x="208"/>
        <item x="299"/>
        <item x="6"/>
        <item x="330"/>
        <item x="383"/>
        <item x="164"/>
        <item x="305"/>
        <item x="331"/>
        <item x="214"/>
        <item x="82"/>
        <item x="13"/>
        <item x="269"/>
        <item x="347"/>
        <item x="4"/>
        <item x="262"/>
        <item x="237"/>
        <item x="338"/>
        <item x="142"/>
        <item x="229"/>
        <item x="384"/>
        <item x="300"/>
        <item x="301"/>
        <item x="361"/>
        <item x="332"/>
        <item x="96"/>
        <item x="106"/>
        <item x="176"/>
        <item x="167"/>
        <item x="339"/>
        <item x="374"/>
        <item x="230"/>
        <item x="277"/>
        <item x="79"/>
        <item x="194"/>
        <item x="362"/>
        <item x="221"/>
        <item x="143"/>
        <item x="231"/>
        <item x="71"/>
        <item x="95"/>
        <item x="118"/>
        <item x="263"/>
        <item x="104"/>
        <item x="264"/>
        <item x="248"/>
        <item x="204"/>
        <item x="99"/>
        <item x="19"/>
        <item x="45"/>
        <item x="182"/>
        <item x="322"/>
        <item x="312"/>
        <item x="144"/>
        <item x="278"/>
        <item x="123"/>
        <item x="168"/>
        <item x="3"/>
        <item x="363"/>
        <item x="127"/>
        <item x="385"/>
        <item x="149"/>
        <item x="255"/>
        <item x="209"/>
        <item x="364"/>
        <item x="26"/>
        <item x="205"/>
        <item x="286"/>
        <item x="56"/>
        <item x="70"/>
        <item x="279"/>
        <item x="107"/>
        <item x="306"/>
        <item x="116"/>
        <item x="365"/>
        <item x="69"/>
        <item x="318"/>
        <item x="5"/>
        <item x="232"/>
        <item x="225"/>
        <item x="77"/>
        <item x="177"/>
        <item x="102"/>
        <item x="323"/>
        <item x="239"/>
        <item x="327"/>
        <item x="256"/>
        <item x="319"/>
        <item x="97"/>
        <item x="249"/>
        <item x="30"/>
        <item x="157"/>
        <item x="257"/>
        <item x="206"/>
        <item x="340"/>
        <item x="74"/>
        <item x="250"/>
        <item x="343"/>
        <item x="188"/>
        <item x="53"/>
        <item x="55"/>
        <item x="108"/>
        <item x="328"/>
        <item x="145"/>
        <item x="287"/>
        <item x="38"/>
        <item x="352"/>
        <item x="80"/>
        <item x="348"/>
        <item x="375"/>
        <item x="189"/>
        <item x="313"/>
        <item x="119"/>
        <item x="333"/>
        <item x="162"/>
        <item x="81"/>
        <item x="62"/>
        <item x="110"/>
        <item x="111"/>
        <item x="128"/>
        <item x="270"/>
        <item x="87"/>
        <item x="195"/>
        <item x="139"/>
        <item x="120"/>
        <item x="158"/>
        <item x="251"/>
        <item x="43"/>
        <item x="21"/>
        <item x="16"/>
        <item x="376"/>
        <item x="207"/>
        <item x="114"/>
        <item x="109"/>
        <item x="302"/>
        <item x="137"/>
        <item x="238"/>
        <item x="171"/>
        <item x="288"/>
        <item x="115"/>
        <item x="25"/>
        <item x="314"/>
        <item x="271"/>
        <item x="353"/>
        <item x="354"/>
        <item x="289"/>
        <item x="355"/>
        <item x="46"/>
        <item x="65"/>
        <item x="265"/>
        <item x="215"/>
        <item x="216"/>
        <item x="159"/>
        <item x="92"/>
        <item x="386"/>
        <item x="307"/>
        <item x="72"/>
        <item x="258"/>
        <item x="290"/>
        <item x="60"/>
        <item x="125"/>
        <item x="160"/>
        <item x="240"/>
        <item x="344"/>
        <item x="134"/>
        <item x="48"/>
        <item x="334"/>
        <item x="112"/>
        <item x="349"/>
        <item x="163"/>
        <item x="28"/>
        <item x="245"/>
        <item x="172"/>
        <item x="210"/>
        <item x="366"/>
        <item x="27"/>
        <item x="291"/>
        <item x="31"/>
        <item x="50"/>
        <item x="83"/>
        <item x="367"/>
        <item x="320"/>
        <item x="377"/>
        <item x="63"/>
        <item x="335"/>
        <item x="280"/>
        <item x="266"/>
        <item x="78"/>
        <item x="281"/>
        <item x="67"/>
        <item x="199"/>
        <item x="183"/>
        <item x="84"/>
        <item x="217"/>
        <item x="1"/>
        <item x="47"/>
        <item x="136"/>
        <item x="233"/>
        <item x="303"/>
        <item x="292"/>
        <item x="105"/>
        <item x="272"/>
        <item x="184"/>
        <item x="196"/>
        <item x="12"/>
        <item x="273"/>
        <item x="178"/>
        <item x="282"/>
        <item x="11"/>
        <item x="91"/>
        <item x="387"/>
        <item x="197"/>
        <item x="165"/>
        <item x="259"/>
        <item x="293"/>
        <item x="185"/>
        <item x="94"/>
        <item x="186"/>
        <item x="88"/>
        <item x="49"/>
        <item x="378"/>
        <item x="24"/>
        <item x="90"/>
        <item x="190"/>
        <item x="58"/>
        <item x="54"/>
        <item x="252"/>
        <item x="246"/>
        <item x="121"/>
        <item x="379"/>
        <item x="129"/>
        <item x="173"/>
        <item x="356"/>
        <item x="130"/>
        <item x="153"/>
        <item x="222"/>
        <item x="73"/>
        <item x="51"/>
        <item x="150"/>
        <item x="200"/>
        <item x="241"/>
        <item x="146"/>
        <item x="117"/>
        <item x="57"/>
        <item x="180"/>
        <item x="368"/>
        <item x="247"/>
        <item x="234"/>
        <item x="380"/>
        <item x="381"/>
        <item x="382"/>
        <item x="388"/>
        <item x="341"/>
        <item x="308"/>
        <item x="267"/>
        <item x="44"/>
        <item x="201"/>
        <item x="389"/>
        <item x="294"/>
        <item x="122"/>
        <item x="357"/>
        <item x="324"/>
        <item x="126"/>
        <item x="132"/>
        <item x="211"/>
        <item x="154"/>
        <item x="155"/>
        <item x="85"/>
        <item x="358"/>
        <item x="135"/>
        <item x="226"/>
        <item x="315"/>
        <item x="147"/>
        <item x="242"/>
        <item x="148"/>
        <item x="350"/>
        <item x="89"/>
        <item x="227"/>
        <item x="156"/>
        <item x="174"/>
        <item x="23"/>
        <item x="42"/>
        <item x="52"/>
        <item x="359"/>
        <item x="93"/>
        <item x="218"/>
        <item x="191"/>
        <item x="283"/>
        <item x="41"/>
        <item x="369"/>
        <item x="202"/>
        <item x="98"/>
        <item x="219"/>
        <item x="7"/>
        <item x="175"/>
        <item x="212"/>
        <item x="295"/>
        <item x="325"/>
        <item x="59"/>
        <item x="345"/>
        <item x="296"/>
        <item x="152"/>
        <item x="235"/>
        <item x="370"/>
        <item x="336"/>
        <item x="243"/>
        <item x="124"/>
        <item x="274"/>
        <item x="220"/>
        <item x="253"/>
        <item x="66"/>
        <item x="371"/>
        <item x="138"/>
        <item x="75"/>
        <item x="304"/>
        <item x="297"/>
        <item x="18"/>
        <item x="76"/>
        <item x="228"/>
        <item x="113"/>
        <item x="342"/>
        <item x="298"/>
        <item x="213"/>
        <item x="284"/>
        <item x="192"/>
        <item x="309"/>
        <item x="193"/>
        <item x="179"/>
        <item x="268"/>
        <item x="390"/>
        <item x="17"/>
        <item x="391"/>
        <item x="64"/>
        <item x="316"/>
        <item x="260"/>
        <item x="101"/>
        <item x="35"/>
        <item x="392"/>
        <item x="337"/>
        <item x="372"/>
        <item x="285"/>
        <item x="151"/>
        <item x="39"/>
        <item x="100"/>
        <item x="33"/>
        <item x="203"/>
        <item x="223"/>
        <item x="40"/>
        <item x="393"/>
        <item x="32"/>
        <item x="22"/>
        <item x="140"/>
        <item x="198"/>
        <item x="14"/>
        <item x="351"/>
        <item x="254"/>
        <item x="15"/>
        <item t="default"/>
      </items>
    </pivotField>
    <pivotField showAll="0">
      <items count="361">
        <item x="106"/>
        <item x="153"/>
        <item x="196"/>
        <item x="62"/>
        <item x="282"/>
        <item x="36"/>
        <item x="171"/>
        <item x="293"/>
        <item x="69"/>
        <item x="19"/>
        <item x="102"/>
        <item x="11"/>
        <item x="236"/>
        <item x="120"/>
        <item x="152"/>
        <item x="71"/>
        <item x="50"/>
        <item x="190"/>
        <item x="291"/>
        <item x="124"/>
        <item x="168"/>
        <item x="315"/>
        <item x="331"/>
        <item x="226"/>
        <item x="251"/>
        <item x="144"/>
        <item x="169"/>
        <item x="104"/>
        <item x="157"/>
        <item x="234"/>
        <item x="0"/>
        <item x="5"/>
        <item x="193"/>
        <item x="166"/>
        <item x="288"/>
        <item x="285"/>
        <item x="81"/>
        <item x="7"/>
        <item x="187"/>
        <item x="181"/>
        <item x="134"/>
        <item x="97"/>
        <item x="15"/>
        <item x="96"/>
        <item x="189"/>
        <item x="100"/>
        <item x="246"/>
        <item x="272"/>
        <item x="140"/>
        <item x="76"/>
        <item x="40"/>
        <item x="59"/>
        <item x="286"/>
        <item x="79"/>
        <item x="263"/>
        <item x="20"/>
        <item x="265"/>
        <item x="295"/>
        <item x="95"/>
        <item x="105"/>
        <item x="24"/>
        <item x="91"/>
        <item x="321"/>
        <item x="249"/>
        <item x="239"/>
        <item x="83"/>
        <item x="352"/>
        <item x="178"/>
        <item x="138"/>
        <item x="267"/>
        <item x="257"/>
        <item x="351"/>
        <item x="1"/>
        <item x="61"/>
        <item x="316"/>
        <item x="237"/>
        <item x="73"/>
        <item x="358"/>
        <item x="164"/>
        <item x="173"/>
        <item x="25"/>
        <item x="10"/>
        <item x="311"/>
        <item x="245"/>
        <item x="320"/>
        <item x="154"/>
        <item x="301"/>
        <item x="356"/>
        <item x="21"/>
        <item x="325"/>
        <item x="78"/>
        <item x="139"/>
        <item x="108"/>
        <item x="37"/>
        <item x="195"/>
        <item x="46"/>
        <item x="38"/>
        <item x="44"/>
        <item x="125"/>
        <item x="27"/>
        <item x="309"/>
        <item x="269"/>
        <item x="184"/>
        <item x="240"/>
        <item x="300"/>
        <item x="98"/>
        <item x="345"/>
        <item x="121"/>
        <item x="77"/>
        <item x="110"/>
        <item x="223"/>
        <item x="186"/>
        <item x="247"/>
        <item x="220"/>
        <item x="30"/>
        <item x="225"/>
        <item x="199"/>
        <item x="350"/>
        <item x="103"/>
        <item x="250"/>
        <item x="57"/>
        <item x="235"/>
        <item x="122"/>
        <item x="170"/>
        <item x="221"/>
        <item x="255"/>
        <item x="55"/>
        <item x="28"/>
        <item x="148"/>
        <item x="58"/>
        <item x="314"/>
        <item x="308"/>
        <item x="211"/>
        <item x="217"/>
        <item x="2"/>
        <item x="136"/>
        <item x="66"/>
        <item x="107"/>
        <item x="182"/>
        <item x="99"/>
        <item x="198"/>
        <item x="231"/>
        <item x="329"/>
        <item x="296"/>
        <item x="17"/>
        <item x="260"/>
        <item x="224"/>
        <item x="126"/>
        <item x="29"/>
        <item x="281"/>
        <item x="90"/>
        <item x="174"/>
        <item x="317"/>
        <item x="256"/>
        <item x="129"/>
        <item x="16"/>
        <item x="328"/>
        <item x="89"/>
        <item x="204"/>
        <item x="326"/>
        <item x="336"/>
        <item x="32"/>
        <item x="175"/>
        <item x="273"/>
        <item x="26"/>
        <item x="313"/>
        <item x="101"/>
        <item x="197"/>
        <item x="48"/>
        <item x="238"/>
        <item x="270"/>
        <item x="80"/>
        <item x="3"/>
        <item x="118"/>
        <item x="200"/>
        <item x="35"/>
        <item x="142"/>
        <item x="344"/>
        <item x="183"/>
        <item x="67"/>
        <item x="63"/>
        <item x="312"/>
        <item x="216"/>
        <item x="158"/>
        <item x="172"/>
        <item x="334"/>
        <item x="294"/>
        <item x="64"/>
        <item x="354"/>
        <item x="359"/>
        <item x="52"/>
        <item x="278"/>
        <item x="342"/>
        <item x="188"/>
        <item x="248"/>
        <item x="131"/>
        <item x="339"/>
        <item x="299"/>
        <item x="218"/>
        <item x="203"/>
        <item x="159"/>
        <item x="14"/>
        <item x="60"/>
        <item x="276"/>
        <item x="343"/>
        <item x="347"/>
        <item x="323"/>
        <item x="290"/>
        <item x="151"/>
        <item x="6"/>
        <item x="304"/>
        <item x="330"/>
        <item x="135"/>
        <item x="113"/>
        <item x="266"/>
        <item x="31"/>
        <item x="335"/>
        <item x="346"/>
        <item x="8"/>
        <item x="302"/>
        <item x="289"/>
        <item x="210"/>
        <item x="233"/>
        <item x="205"/>
        <item x="307"/>
        <item x="192"/>
        <item x="147"/>
        <item x="318"/>
        <item x="208"/>
        <item x="160"/>
        <item x="206"/>
        <item x="341"/>
        <item x="337"/>
        <item x="228"/>
        <item x="258"/>
        <item x="119"/>
        <item x="22"/>
        <item x="128"/>
        <item x="259"/>
        <item x="155"/>
        <item x="332"/>
        <item x="179"/>
        <item x="277"/>
        <item x="353"/>
        <item x="242"/>
        <item x="53"/>
        <item x="93"/>
        <item x="292"/>
        <item x="39"/>
        <item x="284"/>
        <item x="252"/>
        <item x="212"/>
        <item x="271"/>
        <item x="185"/>
        <item x="72"/>
        <item x="322"/>
        <item x="41"/>
        <item x="87"/>
        <item x="348"/>
        <item x="116"/>
        <item x="222"/>
        <item x="130"/>
        <item x="177"/>
        <item x="156"/>
        <item x="319"/>
        <item x="18"/>
        <item x="92"/>
        <item x="207"/>
        <item x="33"/>
        <item x="213"/>
        <item x="149"/>
        <item x="253"/>
        <item x="167"/>
        <item x="357"/>
        <item x="262"/>
        <item x="84"/>
        <item x="261"/>
        <item x="114"/>
        <item x="82"/>
        <item x="141"/>
        <item x="12"/>
        <item x="338"/>
        <item x="117"/>
        <item x="13"/>
        <item x="254"/>
        <item x="215"/>
        <item x="283"/>
        <item x="227"/>
        <item x="94"/>
        <item x="47"/>
        <item x="209"/>
        <item x="214"/>
        <item x="194"/>
        <item x="264"/>
        <item x="133"/>
        <item x="274"/>
        <item x="230"/>
        <item x="112"/>
        <item x="298"/>
        <item x="51"/>
        <item x="42"/>
        <item x="9"/>
        <item x="232"/>
        <item x="355"/>
        <item x="132"/>
        <item x="310"/>
        <item x="43"/>
        <item x="34"/>
        <item x="241"/>
        <item x="68"/>
        <item x="243"/>
        <item x="150"/>
        <item x="176"/>
        <item x="327"/>
        <item x="280"/>
        <item x="86"/>
        <item x="201"/>
        <item x="49"/>
        <item x="275"/>
        <item x="202"/>
        <item x="349"/>
        <item x="305"/>
        <item x="287"/>
        <item x="111"/>
        <item x="70"/>
        <item x="161"/>
        <item x="123"/>
        <item x="85"/>
        <item x="162"/>
        <item x="324"/>
        <item x="137"/>
        <item x="163"/>
        <item x="146"/>
        <item x="54"/>
        <item x="4"/>
        <item x="65"/>
        <item x="333"/>
        <item x="244"/>
        <item x="74"/>
        <item x="45"/>
        <item x="306"/>
        <item x="279"/>
        <item x="56"/>
        <item x="109"/>
        <item x="165"/>
        <item x="88"/>
        <item x="303"/>
        <item x="143"/>
        <item x="340"/>
        <item x="115"/>
        <item x="23"/>
        <item x="75"/>
        <item x="229"/>
        <item x="219"/>
        <item x="145"/>
        <item x="268"/>
        <item x="297"/>
        <item x="191"/>
        <item x="180"/>
        <item x="127"/>
        <item t="default"/>
      </items>
    </pivotField>
    <pivotField dataField="1"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65" showAll="0"/>
    <pivotField showAll="0"/>
    <pivotField showAll="0"/>
    <pivotField showAll="0"/>
    <pivotField showAll="0"/>
    <pivotField showAll="0">
      <items count="11">
        <item x="0"/>
        <item x="1"/>
        <item x="2"/>
        <item x="3"/>
        <item x="4"/>
        <item x="5"/>
        <item x="6"/>
        <item x="7"/>
        <item x="8"/>
        <item x="9"/>
        <item t="default"/>
      </items>
    </pivotField>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Total worth (millions)" fld="11" baseField="2" baseItem="3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0567F47A-A26B-4BA4-9116-5BCEC1195FD3}" sourceName="selfMade">
  <pivotTables>
    <pivotTable tabId="6" name="PivotTable6"/>
    <pivotTable tabId="6" name="PivotTable7"/>
    <pivotTable tabId="6" name="PivotTable8"/>
  </pivotTables>
  <data>
    <tabular pivotCacheId="16925214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760F44-26B9-4F7D-8542-CDF2DC79B75A}" sourceName="gender">
  <pivotTables>
    <pivotTable tabId="6" name="PivotTable6"/>
    <pivotTable tabId="6" name="PivotTable7"/>
    <pivotTable tabId="6" name="PivotTable8"/>
  </pivotTables>
  <data>
    <tabular pivotCacheId="169252142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D69160-9F2E-44D6-821C-4EC6E50AD974}" sourceName="category">
  <pivotTables>
    <pivotTable tabId="6" name="PivotTable6"/>
    <pivotTable tabId="6" name="PivotTable7"/>
    <pivotTable tabId="6" name="PivotTable8"/>
  </pivotTables>
  <data>
    <tabular pivotCacheId="1692521426">
      <items count="18">
        <i x="1" s="1"/>
        <i x="16" s="1"/>
        <i x="6" s="1"/>
        <i x="12" s="1"/>
        <i x="0" s="1"/>
        <i x="3" s="1"/>
        <i x="7" s="1"/>
        <i x="9" s="1"/>
        <i x="13" s="1"/>
        <i x="8" s="1"/>
        <i x="10" s="1"/>
        <i x="4" s="1"/>
        <i x="11" s="1"/>
        <i x="15" s="1"/>
        <i x="14" s="1"/>
        <i x="17"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Made" xr10:uid="{22AB9139-CB8A-44D7-BEFF-A51A76D3B026}" cache="Slicer_selfMade" caption="selfMade" rowHeight="260350"/>
  <slicer name="gender" xr10:uid="{80384CD1-AAB1-442C-82F1-4B0F88047A7A}" cache="Slicer_gender" caption="gender" rowHeight="260350"/>
  <slicer name="category" xr10:uid="{A4EFF89B-879E-4FE9-9A55-2C4336A1C7BC}" cache="Slicer_category" caption="category"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76"/>
  <sheetViews>
    <sheetView zoomScale="107" workbookViewId="0">
      <selection activeCell="L13" sqref="L13"/>
    </sheetView>
  </sheetViews>
  <sheetFormatPr defaultColWidth="10.69921875" defaultRowHeight="15.6" x14ac:dyDescent="0.3"/>
  <cols>
    <col min="1" max="1" width="4.69921875"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8.59765625" bestFit="1" customWidth="1"/>
    <col min="9" max="9" width="6.8984375" bestFit="1" customWidth="1"/>
    <col min="10" max="10" width="19.5" bestFit="1" customWidth="1"/>
    <col min="11" max="11" width="16.5" bestFit="1" customWidth="1"/>
    <col min="12" max="12" width="18.5" customWidth="1"/>
    <col min="13" max="13" width="20.59765625" customWidth="1"/>
    <col min="14" max="14" width="10.69921875" bestFit="1" customWidth="1"/>
    <col min="15" max="15" width="8.19921875" bestFit="1" customWidth="1"/>
    <col min="16" max="16" width="10.69921875" bestFit="1" customWidth="1"/>
    <col min="17" max="17" width="30.19921875" style="5" customWidth="1"/>
    <col min="18" max="18" width="21.5" bestFit="1" customWidth="1"/>
    <col min="19" max="19" width="26.5" bestFit="1" customWidth="1"/>
    <col min="20" max="20" width="20.5" bestFit="1" customWidth="1"/>
    <col min="21" max="21" width="17.796875" bestFit="1" customWidth="1"/>
    <col min="25" max="25" width="19.3984375" bestFit="1" customWidth="1"/>
  </cols>
  <sheetData>
    <row r="1" spans="1:25" s="2" customFormat="1" x14ac:dyDescent="0.3">
      <c r="A1" s="2" t="s">
        <v>0</v>
      </c>
      <c r="B1" s="2" t="s">
        <v>2</v>
      </c>
      <c r="C1" s="2" t="s">
        <v>3</v>
      </c>
      <c r="D1" s="2" t="s">
        <v>4</v>
      </c>
      <c r="E1" s="2" t="s">
        <v>5</v>
      </c>
      <c r="F1" s="2" t="s">
        <v>6</v>
      </c>
      <c r="G1" s="2" t="s">
        <v>7</v>
      </c>
      <c r="H1" s="2" t="s">
        <v>8</v>
      </c>
      <c r="I1" s="2" t="s">
        <v>9</v>
      </c>
      <c r="J1" s="2" t="s">
        <v>10</v>
      </c>
      <c r="K1" s="2" t="s">
        <v>11</v>
      </c>
      <c r="L1" s="2" t="s">
        <v>1814</v>
      </c>
      <c r="M1" s="2" t="s">
        <v>12</v>
      </c>
      <c r="N1" s="2" t="s">
        <v>13</v>
      </c>
      <c r="O1" s="2" t="s">
        <v>14</v>
      </c>
      <c r="P1" s="2" t="s">
        <v>15</v>
      </c>
      <c r="Q1" s="4" t="s">
        <v>16</v>
      </c>
      <c r="R1" s="2" t="s">
        <v>17</v>
      </c>
      <c r="S1" s="2" t="s">
        <v>18</v>
      </c>
      <c r="T1" s="2" t="s">
        <v>19</v>
      </c>
      <c r="U1" s="2" t="s">
        <v>20</v>
      </c>
      <c r="V1" s="2" t="s">
        <v>1799</v>
      </c>
      <c r="W1" s="2" t="s">
        <v>1798</v>
      </c>
      <c r="X1" s="2" t="s">
        <v>1800</v>
      </c>
    </row>
    <row r="2" spans="1:25" x14ac:dyDescent="0.3">
      <c r="A2">
        <v>1</v>
      </c>
      <c r="B2" t="s">
        <v>21</v>
      </c>
      <c r="C2" t="s">
        <v>22</v>
      </c>
      <c r="D2" t="s">
        <v>23</v>
      </c>
      <c r="E2" t="s">
        <v>24</v>
      </c>
      <c r="F2" t="s">
        <v>25</v>
      </c>
      <c r="G2" t="s">
        <v>21</v>
      </c>
      <c r="H2" t="b">
        <v>0</v>
      </c>
      <c r="I2" t="s">
        <v>1796</v>
      </c>
      <c r="J2" t="s">
        <v>27</v>
      </c>
      <c r="K2" t="s">
        <v>28</v>
      </c>
      <c r="L2">
        <v>211000</v>
      </c>
      <c r="M2">
        <v>1949</v>
      </c>
      <c r="N2">
        <v>3</v>
      </c>
      <c r="O2">
        <v>5</v>
      </c>
      <c r="P2">
        <v>110.05</v>
      </c>
      <c r="Q2" s="5">
        <v>2715518274227</v>
      </c>
      <c r="R2">
        <v>82.5</v>
      </c>
      <c r="S2">
        <v>24.2</v>
      </c>
      <c r="T2">
        <v>60.7</v>
      </c>
      <c r="U2">
        <v>67059887</v>
      </c>
      <c r="V2">
        <f t="shared" ref="V2:V65" ca="1" si="0">YEARFRAC(W2,X2,1)</f>
        <v>76.918529958931515</v>
      </c>
      <c r="W2" s="3">
        <f>DATE(M2,N2,O2)</f>
        <v>17962</v>
      </c>
      <c r="X2" s="3">
        <f ca="1">TODAY()</f>
        <v>46056</v>
      </c>
      <c r="Y2" s="5"/>
    </row>
    <row r="3" spans="1:25" x14ac:dyDescent="0.3">
      <c r="A3">
        <v>2</v>
      </c>
      <c r="B3" t="s">
        <v>30</v>
      </c>
      <c r="C3" t="s">
        <v>31</v>
      </c>
      <c r="D3" t="s">
        <v>32</v>
      </c>
      <c r="E3" t="s">
        <v>33</v>
      </c>
      <c r="F3" t="s">
        <v>34</v>
      </c>
      <c r="G3" t="s">
        <v>30</v>
      </c>
      <c r="H3" t="b">
        <v>1</v>
      </c>
      <c r="I3" t="s">
        <v>1796</v>
      </c>
      <c r="J3" t="s">
        <v>35</v>
      </c>
      <c r="K3" t="s">
        <v>36</v>
      </c>
      <c r="L3">
        <v>180000</v>
      </c>
      <c r="M3">
        <v>1971</v>
      </c>
      <c r="N3">
        <v>6</v>
      </c>
      <c r="O3">
        <v>28</v>
      </c>
      <c r="P3">
        <v>117.24</v>
      </c>
      <c r="Q3" s="5">
        <v>21427700000000</v>
      </c>
      <c r="R3">
        <v>78.5</v>
      </c>
      <c r="S3">
        <v>9.6</v>
      </c>
      <c r="T3">
        <v>36.6</v>
      </c>
      <c r="U3">
        <v>328239523</v>
      </c>
      <c r="V3">
        <f t="shared" ca="1" si="0"/>
        <v>54.603696098562629</v>
      </c>
      <c r="W3" s="3">
        <f t="shared" ref="W3:W66" si="1">DATE(M3,N3,O3)</f>
        <v>26112</v>
      </c>
      <c r="X3" s="3">
        <f t="shared" ref="X3:X66" ca="1" si="2">TODAY()</f>
        <v>46056</v>
      </c>
    </row>
    <row r="4" spans="1:25" x14ac:dyDescent="0.3">
      <c r="A4">
        <v>3</v>
      </c>
      <c r="B4" t="s">
        <v>38</v>
      </c>
      <c r="C4" t="s">
        <v>39</v>
      </c>
      <c r="D4" t="s">
        <v>32</v>
      </c>
      <c r="E4" t="s">
        <v>40</v>
      </c>
      <c r="F4" t="s">
        <v>41</v>
      </c>
      <c r="G4" t="s">
        <v>38</v>
      </c>
      <c r="H4" t="b">
        <v>1</v>
      </c>
      <c r="I4" t="s">
        <v>1796</v>
      </c>
      <c r="J4" t="s">
        <v>42</v>
      </c>
      <c r="K4" t="s">
        <v>43</v>
      </c>
      <c r="L4">
        <v>114000</v>
      </c>
      <c r="M4">
        <v>1964</v>
      </c>
      <c r="N4">
        <v>1</v>
      </c>
      <c r="O4">
        <v>12</v>
      </c>
      <c r="P4">
        <v>117.24</v>
      </c>
      <c r="Q4" s="5">
        <v>21427700000000</v>
      </c>
      <c r="R4">
        <v>78.5</v>
      </c>
      <c r="S4">
        <v>9.6</v>
      </c>
      <c r="T4">
        <v>36.6</v>
      </c>
      <c r="U4">
        <v>328239523</v>
      </c>
      <c r="V4">
        <f t="shared" ca="1" si="0"/>
        <v>62.060927382556166</v>
      </c>
      <c r="W4" s="3">
        <f t="shared" si="1"/>
        <v>23388</v>
      </c>
      <c r="X4" s="3">
        <f t="shared" ca="1" si="2"/>
        <v>46056</v>
      </c>
    </row>
    <row r="5" spans="1:25" x14ac:dyDescent="0.3">
      <c r="A5">
        <v>4</v>
      </c>
      <c r="B5" t="s">
        <v>38</v>
      </c>
      <c r="C5" t="s">
        <v>44</v>
      </c>
      <c r="D5" t="s">
        <v>32</v>
      </c>
      <c r="E5" t="s">
        <v>45</v>
      </c>
      <c r="F5" t="s">
        <v>46</v>
      </c>
      <c r="G5" t="s">
        <v>38</v>
      </c>
      <c r="H5" t="b">
        <v>1</v>
      </c>
      <c r="I5" t="s">
        <v>1796</v>
      </c>
      <c r="J5" t="s">
        <v>47</v>
      </c>
      <c r="K5" t="s">
        <v>48</v>
      </c>
      <c r="L5">
        <v>107000</v>
      </c>
      <c r="M5">
        <v>1944</v>
      </c>
      <c r="N5">
        <v>8</v>
      </c>
      <c r="O5">
        <v>17</v>
      </c>
      <c r="P5">
        <v>117.24</v>
      </c>
      <c r="Q5" s="5">
        <v>21427700000000</v>
      </c>
      <c r="R5">
        <v>78.5</v>
      </c>
      <c r="S5">
        <v>9.6</v>
      </c>
      <c r="T5">
        <v>36.6</v>
      </c>
      <c r="U5">
        <v>328239523</v>
      </c>
      <c r="V5">
        <f t="shared" ca="1" si="0"/>
        <v>81.464078374455738</v>
      </c>
      <c r="W5" s="3">
        <f t="shared" si="1"/>
        <v>16301</v>
      </c>
      <c r="X5" s="3">
        <f t="shared" ca="1" si="2"/>
        <v>46056</v>
      </c>
    </row>
    <row r="6" spans="1:25" x14ac:dyDescent="0.3">
      <c r="A6">
        <v>5</v>
      </c>
      <c r="B6" t="s">
        <v>49</v>
      </c>
      <c r="C6" t="s">
        <v>50</v>
      </c>
      <c r="D6" t="s">
        <v>32</v>
      </c>
      <c r="E6" t="s">
        <v>51</v>
      </c>
      <c r="F6" t="s">
        <v>52</v>
      </c>
      <c r="G6" t="s">
        <v>49</v>
      </c>
      <c r="H6" t="b">
        <v>1</v>
      </c>
      <c r="I6" t="s">
        <v>1796</v>
      </c>
      <c r="J6" t="s">
        <v>53</v>
      </c>
      <c r="K6" t="s">
        <v>54</v>
      </c>
      <c r="L6">
        <v>106000</v>
      </c>
      <c r="M6">
        <v>1930</v>
      </c>
      <c r="N6">
        <v>8</v>
      </c>
      <c r="O6">
        <v>30</v>
      </c>
      <c r="P6">
        <v>117.24</v>
      </c>
      <c r="Q6" s="5">
        <v>21427700000000</v>
      </c>
      <c r="R6">
        <v>78.5</v>
      </c>
      <c r="S6">
        <v>9.6</v>
      </c>
      <c r="T6">
        <v>36.6</v>
      </c>
      <c r="U6">
        <v>328239523</v>
      </c>
      <c r="V6">
        <f t="shared" ca="1" si="0"/>
        <v>95.431200429027058</v>
      </c>
      <c r="W6" s="3">
        <f t="shared" si="1"/>
        <v>11200</v>
      </c>
      <c r="X6" s="3">
        <f t="shared" ca="1" si="2"/>
        <v>46056</v>
      </c>
    </row>
    <row r="7" spans="1:25" x14ac:dyDescent="0.3">
      <c r="A7">
        <v>6</v>
      </c>
      <c r="B7" t="s">
        <v>38</v>
      </c>
      <c r="C7" t="s">
        <v>55</v>
      </c>
      <c r="D7" t="s">
        <v>32</v>
      </c>
      <c r="E7" t="s">
        <v>40</v>
      </c>
      <c r="F7" t="s">
        <v>56</v>
      </c>
      <c r="G7" t="s">
        <v>38</v>
      </c>
      <c r="H7" t="b">
        <v>1</v>
      </c>
      <c r="I7" t="s">
        <v>1796</v>
      </c>
      <c r="J7" t="s">
        <v>57</v>
      </c>
      <c r="K7" t="s">
        <v>58</v>
      </c>
      <c r="L7">
        <v>104000</v>
      </c>
      <c r="M7">
        <v>1955</v>
      </c>
      <c r="N7">
        <v>10</v>
      </c>
      <c r="O7">
        <v>28</v>
      </c>
      <c r="P7">
        <v>117.24</v>
      </c>
      <c r="Q7" s="5">
        <v>21427700000000</v>
      </c>
      <c r="R7">
        <v>78.5</v>
      </c>
      <c r="S7">
        <v>9.6</v>
      </c>
      <c r="T7">
        <v>36.6</v>
      </c>
      <c r="U7">
        <v>328239523</v>
      </c>
      <c r="V7">
        <f t="shared" ca="1" si="0"/>
        <v>70.269678302532512</v>
      </c>
      <c r="W7" s="3">
        <f t="shared" si="1"/>
        <v>20390</v>
      </c>
      <c r="X7" s="3">
        <f t="shared" ca="1" si="2"/>
        <v>46056</v>
      </c>
    </row>
    <row r="8" spans="1:25" x14ac:dyDescent="0.3">
      <c r="A8">
        <v>7</v>
      </c>
      <c r="B8" t="s">
        <v>59</v>
      </c>
      <c r="C8" t="s">
        <v>60</v>
      </c>
      <c r="D8" t="s">
        <v>32</v>
      </c>
      <c r="E8" t="s">
        <v>61</v>
      </c>
      <c r="F8" t="s">
        <v>62</v>
      </c>
      <c r="G8" t="s">
        <v>59</v>
      </c>
      <c r="H8" t="b">
        <v>1</v>
      </c>
      <c r="I8" t="s">
        <v>1796</v>
      </c>
      <c r="J8" t="s">
        <v>63</v>
      </c>
      <c r="K8" t="s">
        <v>64</v>
      </c>
      <c r="L8">
        <v>94500</v>
      </c>
      <c r="M8">
        <v>1942</v>
      </c>
      <c r="N8">
        <v>2</v>
      </c>
      <c r="O8">
        <v>14</v>
      </c>
      <c r="P8">
        <v>117.24</v>
      </c>
      <c r="Q8" s="5">
        <v>21427700000000</v>
      </c>
      <c r="R8">
        <v>78.5</v>
      </c>
      <c r="S8">
        <v>9.6</v>
      </c>
      <c r="T8">
        <v>36.6</v>
      </c>
      <c r="U8">
        <v>328239523</v>
      </c>
      <c r="V8">
        <f t="shared" ca="1" si="0"/>
        <v>83.970559814468857</v>
      </c>
      <c r="W8" s="3">
        <f t="shared" si="1"/>
        <v>15386</v>
      </c>
      <c r="X8" s="3">
        <f t="shared" ca="1" si="2"/>
        <v>46056</v>
      </c>
    </row>
    <row r="9" spans="1:25" x14ac:dyDescent="0.3">
      <c r="A9">
        <v>8</v>
      </c>
      <c r="B9" t="s">
        <v>65</v>
      </c>
      <c r="C9" t="s">
        <v>66</v>
      </c>
      <c r="D9" t="s">
        <v>67</v>
      </c>
      <c r="E9" t="s">
        <v>68</v>
      </c>
      <c r="F9" t="s">
        <v>65</v>
      </c>
      <c r="G9" t="s">
        <v>65</v>
      </c>
      <c r="H9" t="b">
        <v>1</v>
      </c>
      <c r="I9" t="s">
        <v>1796</v>
      </c>
      <c r="J9" t="s">
        <v>69</v>
      </c>
      <c r="K9" t="s">
        <v>70</v>
      </c>
      <c r="L9">
        <v>93000</v>
      </c>
      <c r="M9">
        <v>1940</v>
      </c>
      <c r="N9">
        <v>1</v>
      </c>
      <c r="O9">
        <v>28</v>
      </c>
      <c r="P9">
        <v>141.54</v>
      </c>
      <c r="Q9" s="5">
        <v>1258286717125</v>
      </c>
      <c r="R9">
        <v>75</v>
      </c>
      <c r="S9">
        <v>13.1</v>
      </c>
      <c r="T9">
        <v>55.1</v>
      </c>
      <c r="U9">
        <v>126014024</v>
      </c>
      <c r="V9">
        <f t="shared" ca="1" si="0"/>
        <v>86.017119300122729</v>
      </c>
      <c r="W9" s="3">
        <f t="shared" si="1"/>
        <v>14638</v>
      </c>
      <c r="X9" s="3">
        <f t="shared" ca="1" si="2"/>
        <v>46056</v>
      </c>
    </row>
    <row r="10" spans="1:25"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5">
        <v>2611000000000</v>
      </c>
      <c r="R10">
        <v>69.400000000000006</v>
      </c>
      <c r="S10">
        <v>11.2</v>
      </c>
      <c r="T10">
        <v>49.7</v>
      </c>
      <c r="U10">
        <v>1366417754</v>
      </c>
      <c r="V10">
        <f t="shared" ca="1" si="0"/>
        <v>68.795322094887936</v>
      </c>
      <c r="W10" s="3">
        <f t="shared" si="1"/>
        <v>20929</v>
      </c>
      <c r="X10" s="3">
        <f t="shared" ca="1" si="2"/>
        <v>46056</v>
      </c>
    </row>
    <row r="11" spans="1:25"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5">
        <v>21427700000000</v>
      </c>
      <c r="R11">
        <v>78.5</v>
      </c>
      <c r="S11">
        <v>9.6</v>
      </c>
      <c r="T11">
        <v>36.6</v>
      </c>
      <c r="U11">
        <v>328239523</v>
      </c>
      <c r="V11">
        <f t="shared" ca="1" si="0"/>
        <v>69.863802876643661</v>
      </c>
      <c r="W11" s="3">
        <f t="shared" si="1"/>
        <v>20538</v>
      </c>
      <c r="X11" s="3">
        <f t="shared" ca="1" si="2"/>
        <v>46056</v>
      </c>
    </row>
    <row r="12" spans="1:25" x14ac:dyDescent="0.3">
      <c r="A12">
        <v>11</v>
      </c>
      <c r="B12" t="s">
        <v>21</v>
      </c>
      <c r="C12" t="s">
        <v>83</v>
      </c>
      <c r="D12" t="s">
        <v>23</v>
      </c>
      <c r="E12" t="s">
        <v>24</v>
      </c>
      <c r="F12" t="s">
        <v>84</v>
      </c>
      <c r="G12" t="s">
        <v>21</v>
      </c>
      <c r="H12" t="b">
        <v>0</v>
      </c>
      <c r="I12" t="s">
        <v>1797</v>
      </c>
      <c r="J12" t="s">
        <v>86</v>
      </c>
      <c r="K12" t="s">
        <v>87</v>
      </c>
      <c r="L12">
        <v>80500</v>
      </c>
      <c r="M12">
        <v>1953</v>
      </c>
      <c r="N12">
        <v>7</v>
      </c>
      <c r="O12">
        <v>10</v>
      </c>
      <c r="P12">
        <v>110.05</v>
      </c>
      <c r="Q12" s="5">
        <v>2715518274227</v>
      </c>
      <c r="R12">
        <v>82.5</v>
      </c>
      <c r="S12">
        <v>24.2</v>
      </c>
      <c r="T12">
        <v>60.7</v>
      </c>
      <c r="U12">
        <v>67059887</v>
      </c>
      <c r="V12">
        <f t="shared" ca="1" si="0"/>
        <v>72.570815450643778</v>
      </c>
      <c r="W12" s="3">
        <f t="shared" si="1"/>
        <v>19550</v>
      </c>
      <c r="X12" s="3">
        <f t="shared" ca="1" si="2"/>
        <v>46056</v>
      </c>
    </row>
    <row r="13" spans="1:25"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5">
        <v>21427700000000</v>
      </c>
      <c r="R13">
        <v>78.5</v>
      </c>
      <c r="S13">
        <v>9.6</v>
      </c>
      <c r="T13">
        <v>36.6</v>
      </c>
      <c r="U13">
        <v>328239523</v>
      </c>
      <c r="V13">
        <f t="shared" ca="1" si="0"/>
        <v>52.861025199006235</v>
      </c>
      <c r="W13" s="3">
        <f t="shared" si="1"/>
        <v>26749</v>
      </c>
      <c r="X13" s="3">
        <f t="shared" ca="1" si="2"/>
        <v>46056</v>
      </c>
    </row>
    <row r="14" spans="1:25"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5">
        <v>1394116310769</v>
      </c>
      <c r="R14">
        <v>83.3</v>
      </c>
      <c r="S14">
        <v>14.2</v>
      </c>
      <c r="T14">
        <v>47</v>
      </c>
      <c r="U14">
        <v>47076781</v>
      </c>
      <c r="V14">
        <f t="shared" ca="1" si="0"/>
        <v>89.852849148564886</v>
      </c>
      <c r="W14" s="3">
        <f t="shared" si="1"/>
        <v>13237</v>
      </c>
      <c r="X14" s="3">
        <f t="shared" ca="1" si="2"/>
        <v>46056</v>
      </c>
    </row>
    <row r="15" spans="1:25"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5">
        <v>21427700000000</v>
      </c>
      <c r="R15">
        <v>78.5</v>
      </c>
      <c r="S15">
        <v>9.6</v>
      </c>
      <c r="T15">
        <v>36.6</v>
      </c>
      <c r="U15">
        <v>328239523</v>
      </c>
      <c r="V15">
        <f t="shared" ca="1" si="0"/>
        <v>52.455813010191143</v>
      </c>
      <c r="W15" s="3">
        <f t="shared" si="1"/>
        <v>26897</v>
      </c>
      <c r="X15" s="3">
        <f t="shared" ca="1" si="2"/>
        <v>46056</v>
      </c>
    </row>
    <row r="16" spans="1:25"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5">
        <v>19910000000000</v>
      </c>
      <c r="R16">
        <v>77</v>
      </c>
      <c r="S16">
        <v>9.4</v>
      </c>
      <c r="T16">
        <v>59.2</v>
      </c>
      <c r="U16">
        <v>1397715000</v>
      </c>
      <c r="V16">
        <f t="shared" ca="1" si="0"/>
        <v>71.176574278963358</v>
      </c>
      <c r="W16" s="3">
        <f t="shared" si="1"/>
        <v>20059</v>
      </c>
      <c r="X16" s="3">
        <f t="shared" ca="1" si="2"/>
        <v>46056</v>
      </c>
    </row>
    <row r="17" spans="1:24"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5">
        <v>21427700000000</v>
      </c>
      <c r="R17">
        <v>78.5</v>
      </c>
      <c r="S17">
        <v>9.6</v>
      </c>
      <c r="T17">
        <v>36.6</v>
      </c>
      <c r="U17">
        <v>328239523</v>
      </c>
      <c r="V17">
        <f t="shared" ca="1" si="0"/>
        <v>41.72418184133452</v>
      </c>
      <c r="W17" s="3">
        <f t="shared" si="1"/>
        <v>30816</v>
      </c>
      <c r="X17" s="3">
        <f t="shared" ca="1" si="2"/>
        <v>46056</v>
      </c>
    </row>
    <row r="18" spans="1:24"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5">
        <v>21427700000000</v>
      </c>
      <c r="R18">
        <v>78.5</v>
      </c>
      <c r="S18">
        <v>9.6</v>
      </c>
      <c r="T18">
        <v>36.6</v>
      </c>
      <c r="U18">
        <v>328239523</v>
      </c>
      <c r="V18">
        <f t="shared" ca="1" si="0"/>
        <v>90.258726899383987</v>
      </c>
      <c r="W18" s="3">
        <f t="shared" si="1"/>
        <v>13089</v>
      </c>
      <c r="X18" s="3">
        <f t="shared" ca="1" si="2"/>
        <v>46056</v>
      </c>
    </row>
    <row r="19" spans="1:24" x14ac:dyDescent="0.3">
      <c r="A19">
        <v>17</v>
      </c>
      <c r="B19" t="s">
        <v>72</v>
      </c>
      <c r="C19" t="s">
        <v>120</v>
      </c>
      <c r="D19" t="s">
        <v>32</v>
      </c>
      <c r="E19" t="s">
        <v>61</v>
      </c>
      <c r="F19" t="s">
        <v>117</v>
      </c>
      <c r="G19" t="s">
        <v>72</v>
      </c>
      <c r="H19" t="b">
        <v>0</v>
      </c>
      <c r="I19" t="s">
        <v>1797</v>
      </c>
      <c r="J19" t="s">
        <v>118</v>
      </c>
      <c r="K19" t="s">
        <v>121</v>
      </c>
      <c r="L19">
        <v>59000</v>
      </c>
      <c r="M19">
        <v>1962</v>
      </c>
      <c r="N19">
        <v>4</v>
      </c>
      <c r="O19">
        <v>12</v>
      </c>
      <c r="P19">
        <v>117.24</v>
      </c>
      <c r="Q19" s="5">
        <v>21427700000000</v>
      </c>
      <c r="R19">
        <v>78.5</v>
      </c>
      <c r="S19">
        <v>9.6</v>
      </c>
      <c r="T19">
        <v>36.6</v>
      </c>
      <c r="U19">
        <v>328239523</v>
      </c>
      <c r="V19">
        <f t="shared" ca="1" si="0"/>
        <v>63.814498125605496</v>
      </c>
      <c r="W19" s="3">
        <f t="shared" si="1"/>
        <v>22748</v>
      </c>
      <c r="X19" s="3">
        <f t="shared" ca="1" si="2"/>
        <v>46056</v>
      </c>
    </row>
    <row r="20" spans="1:24"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5">
        <v>21427700000000</v>
      </c>
      <c r="R20">
        <v>78.5</v>
      </c>
      <c r="S20">
        <v>9.6</v>
      </c>
      <c r="T20">
        <v>36.6</v>
      </c>
      <c r="U20">
        <v>328239523</v>
      </c>
      <c r="V20">
        <f t="shared" ca="1" si="0"/>
        <v>77.6584647374805</v>
      </c>
      <c r="W20" s="3">
        <f t="shared" si="1"/>
        <v>17691</v>
      </c>
      <c r="X20" s="3">
        <f t="shared" ca="1" si="2"/>
        <v>46056</v>
      </c>
    </row>
    <row r="21" spans="1:24"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5">
        <v>21427700000000</v>
      </c>
      <c r="R21">
        <v>78.5</v>
      </c>
      <c r="S21">
        <v>9.6</v>
      </c>
      <c r="T21">
        <v>36.6</v>
      </c>
      <c r="U21">
        <v>328239523</v>
      </c>
      <c r="V21">
        <f t="shared" ca="1" si="0"/>
        <v>81.26969257157937</v>
      </c>
      <c r="W21" s="3">
        <f t="shared" si="1"/>
        <v>16372</v>
      </c>
      <c r="X21" s="3">
        <f t="shared" ca="1" si="2"/>
        <v>46056</v>
      </c>
    </row>
    <row r="22" spans="1:24" x14ac:dyDescent="0.3">
      <c r="A22">
        <v>21</v>
      </c>
      <c r="B22" t="s">
        <v>21</v>
      </c>
      <c r="C22" t="s">
        <v>129</v>
      </c>
      <c r="D22" t="s">
        <v>32</v>
      </c>
      <c r="E22" t="s">
        <v>130</v>
      </c>
      <c r="F22" t="s">
        <v>124</v>
      </c>
      <c r="G22" t="s">
        <v>21</v>
      </c>
      <c r="H22" t="b">
        <v>0</v>
      </c>
      <c r="I22" t="s">
        <v>1797</v>
      </c>
      <c r="J22" t="s">
        <v>125</v>
      </c>
      <c r="K22" t="s">
        <v>131</v>
      </c>
      <c r="L22">
        <v>56700</v>
      </c>
      <c r="M22">
        <v>1949</v>
      </c>
      <c r="N22">
        <v>10</v>
      </c>
      <c r="O22">
        <v>7</v>
      </c>
      <c r="P22">
        <v>117.24</v>
      </c>
      <c r="Q22" s="5">
        <v>21427700000000</v>
      </c>
      <c r="R22">
        <v>78.5</v>
      </c>
      <c r="S22">
        <v>9.6</v>
      </c>
      <c r="T22">
        <v>36.6</v>
      </c>
      <c r="U22">
        <v>328239523</v>
      </c>
      <c r="V22">
        <f t="shared" ca="1" si="0"/>
        <v>76.327143809891538</v>
      </c>
      <c r="W22" s="3">
        <f t="shared" si="1"/>
        <v>18178</v>
      </c>
      <c r="X22" s="3">
        <f t="shared" ca="1" si="2"/>
        <v>46056</v>
      </c>
    </row>
    <row r="23" spans="1:24"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5">
        <v>1736425629520</v>
      </c>
      <c r="R23">
        <v>81.900000000000006</v>
      </c>
      <c r="S23">
        <v>12.8</v>
      </c>
      <c r="T23">
        <v>24.5</v>
      </c>
      <c r="U23">
        <v>36991981</v>
      </c>
      <c r="V23">
        <f t="shared" ca="1" si="0"/>
        <v>68.647475261078739</v>
      </c>
      <c r="W23" s="3">
        <f t="shared" si="1"/>
        <v>20983</v>
      </c>
      <c r="X23" s="3">
        <f t="shared" ca="1" si="2"/>
        <v>46056</v>
      </c>
    </row>
    <row r="24" spans="1:24"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5">
        <v>21427700000000</v>
      </c>
      <c r="R24">
        <v>78.5</v>
      </c>
      <c r="S24">
        <v>9.6</v>
      </c>
      <c r="T24">
        <v>36.6</v>
      </c>
      <c r="U24">
        <v>328239523</v>
      </c>
      <c r="V24">
        <f t="shared" ca="1" si="0"/>
        <v>60.945904173106648</v>
      </c>
      <c r="W24" s="3">
        <f t="shared" si="1"/>
        <v>23796</v>
      </c>
      <c r="X24" s="3">
        <f t="shared" ca="1" si="2"/>
        <v>46056</v>
      </c>
    </row>
    <row r="25" spans="1:24"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5">
        <v>2611000000000</v>
      </c>
      <c r="R25">
        <v>69.400000000000006</v>
      </c>
      <c r="S25">
        <v>11.2</v>
      </c>
      <c r="T25">
        <v>49.7</v>
      </c>
      <c r="U25">
        <v>1366417754</v>
      </c>
      <c r="V25">
        <f t="shared" ca="1" si="0"/>
        <v>63.614632913525128</v>
      </c>
      <c r="W25" s="3">
        <f t="shared" si="1"/>
        <v>22821</v>
      </c>
      <c r="X25" s="3">
        <f t="shared" ca="1" si="2"/>
        <v>46056</v>
      </c>
    </row>
    <row r="26" spans="1:24"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5">
        <v>21427700000000</v>
      </c>
      <c r="R26">
        <v>78.5</v>
      </c>
      <c r="S26">
        <v>9.6</v>
      </c>
      <c r="T26">
        <v>36.6</v>
      </c>
      <c r="U26">
        <v>328239523</v>
      </c>
      <c r="V26">
        <f t="shared" ca="1" si="0"/>
        <v>87.943181468606767</v>
      </c>
      <c r="W26" s="3">
        <f t="shared" si="1"/>
        <v>13935</v>
      </c>
      <c r="X26" s="3">
        <f t="shared" ca="1" si="2"/>
        <v>46056</v>
      </c>
    </row>
    <row r="27" spans="1:24"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5">
        <v>19910000000000</v>
      </c>
      <c r="R27">
        <v>77</v>
      </c>
      <c r="S27">
        <v>9.4</v>
      </c>
      <c r="T27">
        <v>59.2</v>
      </c>
      <c r="U27">
        <v>1397715000</v>
      </c>
      <c r="V27">
        <f t="shared" ca="1" si="0"/>
        <v>42.091048007131036</v>
      </c>
      <c r="W27" s="3">
        <f t="shared" si="1"/>
        <v>30682</v>
      </c>
      <c r="X27" s="3">
        <f t="shared" ca="1" si="2"/>
        <v>46056</v>
      </c>
    </row>
    <row r="28" spans="1:24"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5">
        <v>3845630030824</v>
      </c>
      <c r="R28">
        <v>80.900000000000006</v>
      </c>
      <c r="S28">
        <v>11.5</v>
      </c>
      <c r="T28">
        <v>48.8</v>
      </c>
      <c r="U28">
        <v>83132799</v>
      </c>
      <c r="V28">
        <f t="shared" ca="1" si="0"/>
        <v>86.362765229295007</v>
      </c>
      <c r="W28" s="3">
        <f t="shared" si="1"/>
        <v>14512</v>
      </c>
      <c r="X28" s="3">
        <f t="shared" ca="1" si="2"/>
        <v>46056</v>
      </c>
    </row>
    <row r="29" spans="1:24"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5">
        <v>2715518274227</v>
      </c>
      <c r="R29">
        <v>82.5</v>
      </c>
      <c r="S29">
        <v>24.2</v>
      </c>
      <c r="T29">
        <v>60.7</v>
      </c>
      <c r="U29">
        <v>67059887</v>
      </c>
      <c r="V29">
        <f t="shared" ca="1" si="0"/>
        <v>89.45312594018894</v>
      </c>
      <c r="W29" s="3">
        <f t="shared" si="1"/>
        <v>13383</v>
      </c>
      <c r="X29" s="3">
        <f t="shared" ca="1" si="2"/>
        <v>46056</v>
      </c>
    </row>
    <row r="30" spans="1:24"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5">
        <v>703082435360</v>
      </c>
      <c r="R30">
        <v>83.6</v>
      </c>
      <c r="S30">
        <v>10.1</v>
      </c>
      <c r="T30">
        <v>28.8</v>
      </c>
      <c r="U30">
        <v>8574832</v>
      </c>
      <c r="V30">
        <f t="shared" ca="1" si="0"/>
        <v>88.67486006327573</v>
      </c>
      <c r="W30" s="3">
        <f t="shared" si="1"/>
        <v>13668</v>
      </c>
      <c r="X30" s="3">
        <f t="shared" ca="1" si="2"/>
        <v>46056</v>
      </c>
    </row>
    <row r="31" spans="1:24"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5">
        <v>529606710418</v>
      </c>
      <c r="R31">
        <v>81.599999999999994</v>
      </c>
      <c r="S31">
        <v>24</v>
      </c>
      <c r="T31">
        <v>55.4</v>
      </c>
      <c r="U31">
        <v>11484055</v>
      </c>
      <c r="V31">
        <f t="shared" ca="1" si="0"/>
        <v>61.368258658902263</v>
      </c>
      <c r="W31" s="3">
        <f t="shared" si="1"/>
        <v>23641</v>
      </c>
      <c r="X31" s="3">
        <f t="shared" ca="1" si="2"/>
        <v>46056</v>
      </c>
    </row>
    <row r="32" spans="1:24" x14ac:dyDescent="0.3">
      <c r="A32">
        <v>31</v>
      </c>
      <c r="B32" t="s">
        <v>103</v>
      </c>
      <c r="C32" t="s">
        <v>183</v>
      </c>
      <c r="D32" t="s">
        <v>32</v>
      </c>
      <c r="E32" t="s">
        <v>184</v>
      </c>
      <c r="F32" t="s">
        <v>185</v>
      </c>
      <c r="G32" t="s">
        <v>103</v>
      </c>
      <c r="H32" t="b">
        <v>0</v>
      </c>
      <c r="I32" t="s">
        <v>1797</v>
      </c>
      <c r="J32" t="s">
        <v>186</v>
      </c>
      <c r="K32" t="s">
        <v>187</v>
      </c>
      <c r="L32">
        <v>38300</v>
      </c>
      <c r="M32">
        <v>1939</v>
      </c>
      <c r="N32">
        <v>10</v>
      </c>
      <c r="O32">
        <v>10</v>
      </c>
      <c r="P32">
        <v>117.24</v>
      </c>
      <c r="Q32" s="5">
        <v>21427700000000</v>
      </c>
      <c r="R32">
        <v>78.5</v>
      </c>
      <c r="S32">
        <v>9.6</v>
      </c>
      <c r="T32">
        <v>36.6</v>
      </c>
      <c r="U32">
        <v>328239523</v>
      </c>
      <c r="V32">
        <f t="shared" ca="1" si="0"/>
        <v>86.318959616700894</v>
      </c>
      <c r="W32" s="3">
        <f t="shared" si="1"/>
        <v>14528</v>
      </c>
      <c r="X32" s="3">
        <f t="shared" ca="1" si="2"/>
        <v>46056</v>
      </c>
    </row>
    <row r="33" spans="1:24"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5">
        <v>21427700000000</v>
      </c>
      <c r="R33">
        <v>78.5</v>
      </c>
      <c r="S33">
        <v>9.6</v>
      </c>
      <c r="T33">
        <v>36.6</v>
      </c>
      <c r="U33">
        <v>328239523</v>
      </c>
      <c r="V33">
        <f t="shared" ca="1" si="0"/>
        <v>90.305270362765228</v>
      </c>
      <c r="W33" s="3">
        <f t="shared" si="1"/>
        <v>13072</v>
      </c>
      <c r="X33" s="3">
        <f t="shared" ca="1" si="2"/>
        <v>46056</v>
      </c>
    </row>
    <row r="34" spans="1:24"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5">
        <v>19910000000000</v>
      </c>
      <c r="R34">
        <v>77</v>
      </c>
      <c r="S34">
        <v>9.4</v>
      </c>
      <c r="T34">
        <v>59.2</v>
      </c>
      <c r="U34">
        <v>1397715000</v>
      </c>
      <c r="V34">
        <f t="shared" ca="1" si="0"/>
        <v>54.266940451745377</v>
      </c>
      <c r="W34" s="3">
        <f t="shared" si="1"/>
        <v>26235</v>
      </c>
      <c r="X34" s="3">
        <f t="shared" ca="1" si="2"/>
        <v>46056</v>
      </c>
    </row>
    <row r="35" spans="1:24" x14ac:dyDescent="0.3">
      <c r="A35">
        <v>35</v>
      </c>
      <c r="B35" t="s">
        <v>196</v>
      </c>
      <c r="C35" t="s">
        <v>197</v>
      </c>
      <c r="D35" t="s">
        <v>32</v>
      </c>
      <c r="E35" t="s">
        <v>198</v>
      </c>
      <c r="F35" t="s">
        <v>199</v>
      </c>
      <c r="G35" t="s">
        <v>196</v>
      </c>
      <c r="H35" t="b">
        <v>0</v>
      </c>
      <c r="I35" t="s">
        <v>1797</v>
      </c>
      <c r="J35" t="s">
        <v>200</v>
      </c>
      <c r="K35" t="s">
        <v>201</v>
      </c>
      <c r="L35">
        <v>35000</v>
      </c>
      <c r="M35">
        <v>1945</v>
      </c>
      <c r="N35">
        <v>10</v>
      </c>
      <c r="O35">
        <v>10</v>
      </c>
      <c r="P35">
        <v>117.24</v>
      </c>
      <c r="Q35" s="5">
        <v>21427700000000</v>
      </c>
      <c r="R35">
        <v>78.5</v>
      </c>
      <c r="S35">
        <v>9.6</v>
      </c>
      <c r="T35">
        <v>36.6</v>
      </c>
      <c r="U35">
        <v>328239523</v>
      </c>
      <c r="V35">
        <f t="shared" ca="1" si="0"/>
        <v>80.318931552587642</v>
      </c>
      <c r="W35" s="3">
        <f t="shared" si="1"/>
        <v>16720</v>
      </c>
      <c r="X35" s="3">
        <f t="shared" ca="1" si="2"/>
        <v>46056</v>
      </c>
    </row>
    <row r="36" spans="1:24"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5">
        <v>21427700000000</v>
      </c>
      <c r="R36">
        <v>78.5</v>
      </c>
      <c r="S36">
        <v>9.6</v>
      </c>
      <c r="T36">
        <v>36.6</v>
      </c>
      <c r="U36">
        <v>328239523</v>
      </c>
      <c r="V36">
        <f t="shared" ca="1" si="0"/>
        <v>57.302552204176337</v>
      </c>
      <c r="W36" s="3">
        <f t="shared" si="1"/>
        <v>25126</v>
      </c>
      <c r="X36" s="3">
        <f t="shared" ca="1" si="2"/>
        <v>46056</v>
      </c>
    </row>
    <row r="37" spans="1:24"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5">
        <v>446314739528</v>
      </c>
      <c r="R37">
        <v>81.599999999999994</v>
      </c>
      <c r="S37">
        <v>25.4</v>
      </c>
      <c r="T37">
        <v>51.4</v>
      </c>
      <c r="U37">
        <v>8877067</v>
      </c>
      <c r="V37">
        <f t="shared" ca="1" si="0"/>
        <v>33.743351063829785</v>
      </c>
      <c r="W37" s="3">
        <f t="shared" si="1"/>
        <v>33731</v>
      </c>
      <c r="X37" s="3">
        <f t="shared" ca="1" si="2"/>
        <v>46056</v>
      </c>
    </row>
    <row r="38" spans="1:24"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5">
        <v>19910000000000</v>
      </c>
      <c r="R38">
        <v>77</v>
      </c>
      <c r="S38">
        <v>9.4</v>
      </c>
      <c r="T38">
        <v>59.2</v>
      </c>
      <c r="U38">
        <v>1397715000</v>
      </c>
      <c r="V38">
        <f t="shared" ca="1" si="0"/>
        <v>57.091012084592144</v>
      </c>
      <c r="W38" s="3">
        <f t="shared" si="1"/>
        <v>25204</v>
      </c>
      <c r="X38" s="3">
        <f t="shared" ca="1" si="2"/>
        <v>46056</v>
      </c>
    </row>
    <row r="39" spans="1:24"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5">
        <v>5081769542380</v>
      </c>
      <c r="R39">
        <v>84.2</v>
      </c>
      <c r="S39">
        <v>11.9</v>
      </c>
      <c r="T39">
        <v>46.7</v>
      </c>
      <c r="U39">
        <v>126226568</v>
      </c>
      <c r="V39">
        <f t="shared" ca="1" si="0"/>
        <v>76.989715328723378</v>
      </c>
      <c r="W39" s="3">
        <f t="shared" si="1"/>
        <v>17936</v>
      </c>
      <c r="X39" s="3">
        <f t="shared" ca="1" si="2"/>
        <v>46056</v>
      </c>
    </row>
    <row r="40" spans="1:24"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5">
        <v>2827113184696</v>
      </c>
      <c r="R40">
        <v>81.3</v>
      </c>
      <c r="S40">
        <v>25.5</v>
      </c>
      <c r="T40">
        <v>30.6</v>
      </c>
      <c r="U40">
        <v>66834405</v>
      </c>
      <c r="V40">
        <f t="shared" ca="1" si="0"/>
        <v>68.677592208706542</v>
      </c>
      <c r="W40" s="3">
        <f t="shared" si="1"/>
        <v>20972</v>
      </c>
      <c r="X40" s="3">
        <f t="shared" ca="1" si="2"/>
        <v>46056</v>
      </c>
    </row>
    <row r="41" spans="1:24"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5">
        <v>21427700000000</v>
      </c>
      <c r="R41">
        <v>78.5</v>
      </c>
      <c r="S41">
        <v>9.6</v>
      </c>
      <c r="T41">
        <v>36.6</v>
      </c>
      <c r="U41">
        <v>328239523</v>
      </c>
      <c r="V41">
        <f t="shared" ca="1" si="0"/>
        <v>77.433962918038475</v>
      </c>
      <c r="W41" s="3">
        <f t="shared" si="1"/>
        <v>17773</v>
      </c>
      <c r="X41" s="3">
        <f t="shared" ca="1" si="2"/>
        <v>46056</v>
      </c>
    </row>
    <row r="42" spans="1:24"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5">
        <v>21427700000000</v>
      </c>
      <c r="R42">
        <v>78.5</v>
      </c>
      <c r="S42">
        <v>9.6</v>
      </c>
      <c r="T42">
        <v>36.6</v>
      </c>
      <c r="U42">
        <v>328239523</v>
      </c>
      <c r="V42">
        <f t="shared" ca="1" si="0"/>
        <v>75.069130732375086</v>
      </c>
      <c r="W42" s="3">
        <f t="shared" si="1"/>
        <v>18637</v>
      </c>
      <c r="X42" s="3">
        <f t="shared" ca="1" si="2"/>
        <v>46056</v>
      </c>
    </row>
    <row r="43" spans="1:24"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5">
        <v>703082435360</v>
      </c>
      <c r="R43">
        <v>83.6</v>
      </c>
      <c r="S43">
        <v>10.1</v>
      </c>
      <c r="T43">
        <v>28.8</v>
      </c>
      <c r="U43">
        <v>8574832</v>
      </c>
      <c r="V43">
        <f t="shared" ca="1" si="0"/>
        <v>85.60370708373982</v>
      </c>
      <c r="W43" s="3">
        <f t="shared" si="1"/>
        <v>14789</v>
      </c>
      <c r="X43" s="3">
        <f t="shared" ca="1" si="2"/>
        <v>46056</v>
      </c>
    </row>
    <row r="44" spans="1:24" x14ac:dyDescent="0.3">
      <c r="A44">
        <v>43</v>
      </c>
      <c r="B44" t="s">
        <v>168</v>
      </c>
      <c r="C44" t="s">
        <v>242</v>
      </c>
      <c r="D44" t="s">
        <v>170</v>
      </c>
      <c r="E44" t="s">
        <v>239</v>
      </c>
      <c r="F44" t="s">
        <v>172</v>
      </c>
      <c r="G44" t="s">
        <v>168</v>
      </c>
      <c r="H44" t="b">
        <v>1</v>
      </c>
      <c r="I44" t="s">
        <v>1797</v>
      </c>
      <c r="J44" t="s">
        <v>243</v>
      </c>
      <c r="K44" t="s">
        <v>244</v>
      </c>
      <c r="L44">
        <v>31200</v>
      </c>
      <c r="M44">
        <v>1945</v>
      </c>
      <c r="N44">
        <v>3</v>
      </c>
      <c r="O44">
        <v>26</v>
      </c>
      <c r="P44">
        <v>99.55</v>
      </c>
      <c r="Q44" s="5">
        <v>703082435360</v>
      </c>
      <c r="R44">
        <v>83.6</v>
      </c>
      <c r="S44">
        <v>10.1</v>
      </c>
      <c r="T44">
        <v>28.8</v>
      </c>
      <c r="U44">
        <v>8574832</v>
      </c>
      <c r="V44">
        <f t="shared" ca="1" si="0"/>
        <v>80.861035058430716</v>
      </c>
      <c r="W44" s="3">
        <f t="shared" si="1"/>
        <v>16522</v>
      </c>
      <c r="X44" s="3">
        <f t="shared" ca="1" si="2"/>
        <v>46056</v>
      </c>
    </row>
    <row r="45" spans="1:24"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5">
        <v>19910000000000</v>
      </c>
      <c r="R45">
        <v>77</v>
      </c>
      <c r="S45">
        <v>9.4</v>
      </c>
      <c r="T45">
        <v>59.2</v>
      </c>
      <c r="U45">
        <v>1397715000</v>
      </c>
      <c r="V45">
        <f t="shared" ca="1" si="0"/>
        <v>46.00343682646939</v>
      </c>
      <c r="W45" s="3">
        <f t="shared" si="1"/>
        <v>29253</v>
      </c>
      <c r="X45" s="3">
        <f t="shared" ca="1" si="2"/>
        <v>46056</v>
      </c>
    </row>
    <row r="46" spans="1:24"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5">
        <v>3845630030824</v>
      </c>
      <c r="R46">
        <v>80.900000000000006</v>
      </c>
      <c r="S46">
        <v>11.5</v>
      </c>
      <c r="T46">
        <v>48.8</v>
      </c>
      <c r="U46">
        <v>83132799</v>
      </c>
      <c r="V46">
        <f t="shared" ca="1" si="0"/>
        <v>90.792607802874741</v>
      </c>
      <c r="W46" s="3">
        <f t="shared" si="1"/>
        <v>12894</v>
      </c>
      <c r="X46" s="3">
        <f t="shared" ca="1" si="2"/>
        <v>46056</v>
      </c>
    </row>
    <row r="47" spans="1:24"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5">
        <v>21427700000000</v>
      </c>
      <c r="R47">
        <v>78.5</v>
      </c>
      <c r="S47">
        <v>9.6</v>
      </c>
      <c r="T47">
        <v>36.6</v>
      </c>
      <c r="U47">
        <v>328239523</v>
      </c>
      <c r="V47">
        <f t="shared" ca="1" si="0"/>
        <v>67.55166256646298</v>
      </c>
      <c r="W47" s="3">
        <f t="shared" si="1"/>
        <v>21383</v>
      </c>
      <c r="X47" s="3">
        <f t="shared" ca="1" si="2"/>
        <v>46056</v>
      </c>
    </row>
    <row r="48" spans="1:24"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5">
        <v>21427700000000</v>
      </c>
      <c r="R48">
        <v>78.5</v>
      </c>
      <c r="S48">
        <v>9.6</v>
      </c>
      <c r="T48">
        <v>36.6</v>
      </c>
      <c r="U48">
        <v>328239523</v>
      </c>
      <c r="V48">
        <f t="shared" ca="1" si="0"/>
        <v>87.778909158027503</v>
      </c>
      <c r="W48" s="3">
        <f t="shared" si="1"/>
        <v>13995</v>
      </c>
      <c r="X48" s="3">
        <f t="shared" ca="1" si="2"/>
        <v>46056</v>
      </c>
    </row>
    <row r="49" spans="1:24"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5">
        <v>21427700000000</v>
      </c>
      <c r="R49">
        <v>78.5</v>
      </c>
      <c r="S49">
        <v>9.6</v>
      </c>
      <c r="T49">
        <v>36.6</v>
      </c>
      <c r="U49">
        <v>328239523</v>
      </c>
      <c r="V49">
        <f t="shared" ca="1" si="0"/>
        <v>78.970568104038335</v>
      </c>
      <c r="W49" s="3">
        <f t="shared" si="1"/>
        <v>17212</v>
      </c>
      <c r="X49" s="3">
        <f t="shared" ca="1" si="2"/>
        <v>46056</v>
      </c>
    </row>
    <row r="50" spans="1:24" x14ac:dyDescent="0.3">
      <c r="A50">
        <v>51</v>
      </c>
      <c r="B50" t="s">
        <v>30</v>
      </c>
      <c r="C50" t="s">
        <v>267</v>
      </c>
      <c r="D50" t="s">
        <v>158</v>
      </c>
      <c r="E50" t="s">
        <v>268</v>
      </c>
      <c r="F50" t="s">
        <v>269</v>
      </c>
      <c r="G50" t="s">
        <v>30</v>
      </c>
      <c r="H50" t="b">
        <v>0</v>
      </c>
      <c r="I50" t="s">
        <v>1797</v>
      </c>
      <c r="J50" t="s">
        <v>270</v>
      </c>
      <c r="K50" t="s">
        <v>271</v>
      </c>
      <c r="L50">
        <v>27400</v>
      </c>
      <c r="M50">
        <v>1962</v>
      </c>
      <c r="N50">
        <v>4</v>
      </c>
      <c r="O50">
        <v>28</v>
      </c>
      <c r="P50">
        <v>112.85</v>
      </c>
      <c r="Q50" s="5">
        <v>3845630030824</v>
      </c>
      <c r="R50">
        <v>80.900000000000006</v>
      </c>
      <c r="S50">
        <v>11.5</v>
      </c>
      <c r="T50">
        <v>48.8</v>
      </c>
      <c r="U50">
        <v>83132799</v>
      </c>
      <c r="V50">
        <f t="shared" ca="1" si="0"/>
        <v>63.770692051724865</v>
      </c>
      <c r="W50" s="3">
        <f t="shared" si="1"/>
        <v>22764</v>
      </c>
      <c r="X50" s="3">
        <f t="shared" ca="1" si="2"/>
        <v>46056</v>
      </c>
    </row>
    <row r="51" spans="1:24" x14ac:dyDescent="0.3">
      <c r="A51">
        <v>52</v>
      </c>
      <c r="B51" t="s">
        <v>272</v>
      </c>
      <c r="C51" t="s">
        <v>273</v>
      </c>
      <c r="D51" t="s">
        <v>274</v>
      </c>
      <c r="E51" t="s">
        <v>275</v>
      </c>
      <c r="F51" t="s">
        <v>276</v>
      </c>
      <c r="G51" t="s">
        <v>272</v>
      </c>
      <c r="H51" t="b">
        <v>0</v>
      </c>
      <c r="I51" t="s">
        <v>1797</v>
      </c>
      <c r="J51" t="s">
        <v>277</v>
      </c>
      <c r="K51" t="s">
        <v>278</v>
      </c>
      <c r="L51">
        <v>27000</v>
      </c>
      <c r="M51">
        <v>1954</v>
      </c>
      <c r="N51">
        <v>2</v>
      </c>
      <c r="O51">
        <v>9</v>
      </c>
      <c r="P51">
        <v>119.8</v>
      </c>
      <c r="Q51" s="5">
        <v>1392680589329</v>
      </c>
      <c r="R51">
        <v>82.7</v>
      </c>
      <c r="S51">
        <v>23</v>
      </c>
      <c r="T51">
        <v>47.4</v>
      </c>
      <c r="U51">
        <v>25766605</v>
      </c>
      <c r="V51">
        <f t="shared" ca="1" si="0"/>
        <v>71.984247834077181</v>
      </c>
      <c r="W51" s="3">
        <f t="shared" si="1"/>
        <v>19764</v>
      </c>
      <c r="X51" s="3">
        <f t="shared" ca="1" si="2"/>
        <v>46056</v>
      </c>
    </row>
    <row r="52" spans="1:24"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5">
        <v>19910000000000</v>
      </c>
      <c r="R52">
        <v>77</v>
      </c>
      <c r="S52">
        <v>9.4</v>
      </c>
      <c r="T52">
        <v>59.2</v>
      </c>
      <c r="U52">
        <v>1397715000</v>
      </c>
      <c r="V52">
        <f t="shared" ca="1" si="0"/>
        <v>54.343600273785079</v>
      </c>
      <c r="W52" s="3">
        <f t="shared" si="1"/>
        <v>26207</v>
      </c>
      <c r="X52" s="3">
        <f t="shared" ca="1" si="2"/>
        <v>46056</v>
      </c>
    </row>
    <row r="53" spans="1:24"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5">
        <v>1258286717125</v>
      </c>
      <c r="R53">
        <v>75</v>
      </c>
      <c r="S53">
        <v>13.1</v>
      </c>
      <c r="T53">
        <v>55.1</v>
      </c>
      <c r="U53">
        <v>126014024</v>
      </c>
      <c r="V53">
        <f t="shared" ca="1" si="0"/>
        <v>72.275122095604559</v>
      </c>
      <c r="W53" s="3">
        <f t="shared" si="1"/>
        <v>19658</v>
      </c>
      <c r="X53" s="3">
        <f t="shared" ca="1" si="2"/>
        <v>46056</v>
      </c>
    </row>
    <row r="54" spans="1:24"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5">
        <v>2611000000000</v>
      </c>
      <c r="R54">
        <v>69.400000000000006</v>
      </c>
      <c r="S54">
        <v>11.2</v>
      </c>
      <c r="T54">
        <v>49.7</v>
      </c>
      <c r="U54">
        <v>1366417754</v>
      </c>
      <c r="V54">
        <f t="shared" ca="1" si="0"/>
        <v>80.548914858096822</v>
      </c>
      <c r="W54" s="3">
        <f t="shared" si="1"/>
        <v>16636</v>
      </c>
      <c r="X54" s="3">
        <f t="shared" ca="1" si="2"/>
        <v>46056</v>
      </c>
    </row>
    <row r="55" spans="1:24"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5">
        <v>1119190780753</v>
      </c>
      <c r="R55">
        <v>71.5</v>
      </c>
      <c r="S55">
        <v>10.199999999999999</v>
      </c>
      <c r="T55">
        <v>30.1</v>
      </c>
      <c r="U55">
        <v>270203917</v>
      </c>
      <c r="V55">
        <f t="shared" ca="1" si="0"/>
        <v>77.798093917865188</v>
      </c>
      <c r="W55" s="3">
        <f t="shared" si="1"/>
        <v>17640</v>
      </c>
      <c r="X55" s="3">
        <f t="shared" ca="1" si="2"/>
        <v>46056</v>
      </c>
    </row>
    <row r="56" spans="1:24"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5">
        <v>21427700000000</v>
      </c>
      <c r="R56">
        <v>78.5</v>
      </c>
      <c r="S56">
        <v>9.6</v>
      </c>
      <c r="T56">
        <v>36.6</v>
      </c>
      <c r="U56">
        <v>328239523</v>
      </c>
      <c r="V56">
        <f t="shared" ca="1" si="0"/>
        <v>81.343613933236568</v>
      </c>
      <c r="W56" s="3">
        <f t="shared" si="1"/>
        <v>16345</v>
      </c>
      <c r="X56" s="3">
        <f t="shared" ca="1" si="2"/>
        <v>46056</v>
      </c>
    </row>
    <row r="57" spans="1:24"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5">
        <v>421142267938</v>
      </c>
      <c r="R57">
        <v>77.8</v>
      </c>
      <c r="S57">
        <v>0.1</v>
      </c>
      <c r="T57">
        <v>15.9</v>
      </c>
      <c r="U57">
        <v>9770529</v>
      </c>
      <c r="V57">
        <f t="shared" ca="1" si="0"/>
        <v>53.907611130469412</v>
      </c>
      <c r="W57" s="3">
        <f t="shared" si="1"/>
        <v>26366</v>
      </c>
      <c r="X57" s="3">
        <f t="shared" ca="1" si="2"/>
        <v>46056</v>
      </c>
    </row>
    <row r="58" spans="1:24"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5">
        <v>3845630030824</v>
      </c>
      <c r="R58">
        <v>80.900000000000006</v>
      </c>
      <c r="S58">
        <v>11.5</v>
      </c>
      <c r="T58">
        <v>48.8</v>
      </c>
      <c r="U58">
        <v>83132799</v>
      </c>
      <c r="V58">
        <f t="shared" ca="1" si="0"/>
        <v>59.740574506283664</v>
      </c>
      <c r="W58" s="3">
        <f t="shared" si="1"/>
        <v>24236</v>
      </c>
      <c r="X58" s="3">
        <f t="shared" ca="1" si="2"/>
        <v>46056</v>
      </c>
    </row>
    <row r="59" spans="1:24" x14ac:dyDescent="0.3">
      <c r="A59">
        <v>60</v>
      </c>
      <c r="B59" t="s">
        <v>38</v>
      </c>
      <c r="C59" t="s">
        <v>317</v>
      </c>
      <c r="D59" t="s">
        <v>32</v>
      </c>
      <c r="E59" t="s">
        <v>318</v>
      </c>
      <c r="F59" t="s">
        <v>41</v>
      </c>
      <c r="G59" t="s">
        <v>38</v>
      </c>
      <c r="H59" t="b">
        <v>0</v>
      </c>
      <c r="I59" t="s">
        <v>1797</v>
      </c>
      <c r="J59" t="s">
        <v>319</v>
      </c>
      <c r="K59" t="s">
        <v>320</v>
      </c>
      <c r="L59">
        <v>24400</v>
      </c>
      <c r="M59">
        <v>1970</v>
      </c>
      <c r="N59">
        <v>4</v>
      </c>
      <c r="O59">
        <v>7</v>
      </c>
      <c r="P59">
        <v>117.24</v>
      </c>
      <c r="Q59" s="5">
        <v>21427700000000</v>
      </c>
      <c r="R59">
        <v>78.5</v>
      </c>
      <c r="S59">
        <v>9.6</v>
      </c>
      <c r="T59">
        <v>36.6</v>
      </c>
      <c r="U59">
        <v>328239523</v>
      </c>
      <c r="V59">
        <f t="shared" ca="1" si="0"/>
        <v>55.828185791824772</v>
      </c>
      <c r="W59" s="3">
        <f t="shared" si="1"/>
        <v>25665</v>
      </c>
      <c r="X59" s="3">
        <f t="shared" ca="1" si="2"/>
        <v>46056</v>
      </c>
    </row>
    <row r="60" spans="1:24"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5">
        <v>1119190780753</v>
      </c>
      <c r="R60">
        <v>71.5</v>
      </c>
      <c r="S60">
        <v>10.199999999999999</v>
      </c>
      <c r="T60">
        <v>30.1</v>
      </c>
      <c r="U60">
        <v>270203917</v>
      </c>
      <c r="V60">
        <f t="shared" ca="1" si="0"/>
        <v>85.091019069752633</v>
      </c>
      <c r="W60" s="3">
        <f t="shared" si="1"/>
        <v>14977</v>
      </c>
      <c r="X60" s="3">
        <f t="shared" ca="1" si="2"/>
        <v>46056</v>
      </c>
    </row>
    <row r="61" spans="1:24"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5">
        <v>1699876578871</v>
      </c>
      <c r="R61">
        <v>72.7</v>
      </c>
      <c r="S61">
        <v>11.4</v>
      </c>
      <c r="T61">
        <v>46.2</v>
      </c>
      <c r="U61">
        <v>144373535</v>
      </c>
      <c r="V61">
        <f t="shared" ca="1" si="0"/>
        <v>65.08553886999087</v>
      </c>
      <c r="W61" s="3">
        <f t="shared" si="1"/>
        <v>22284</v>
      </c>
      <c r="X61" s="3">
        <f t="shared" ca="1" si="2"/>
        <v>46056</v>
      </c>
    </row>
    <row r="62" spans="1:24"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5">
        <v>19910000000000</v>
      </c>
      <c r="R62">
        <v>77</v>
      </c>
      <c r="S62">
        <v>9.4</v>
      </c>
      <c r="T62">
        <v>59.2</v>
      </c>
      <c r="U62">
        <v>1397715000</v>
      </c>
      <c r="V62">
        <f t="shared" ca="1" si="0"/>
        <v>61.398374690365479</v>
      </c>
      <c r="W62" s="3">
        <f t="shared" si="1"/>
        <v>23630</v>
      </c>
      <c r="X62" s="3">
        <f t="shared" ca="1" si="2"/>
        <v>46056</v>
      </c>
    </row>
    <row r="63" spans="1:24"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5">
        <v>19910000000000</v>
      </c>
      <c r="R63">
        <v>77</v>
      </c>
      <c r="S63">
        <v>9.4</v>
      </c>
      <c r="T63">
        <v>59.2</v>
      </c>
      <c r="U63">
        <v>1397715000</v>
      </c>
      <c r="V63">
        <f t="shared" ca="1" si="0"/>
        <v>83.483218450041875</v>
      </c>
      <c r="W63" s="3">
        <f t="shared" si="1"/>
        <v>15564</v>
      </c>
      <c r="X63" s="3">
        <f t="shared" ca="1" si="2"/>
        <v>46056</v>
      </c>
    </row>
    <row r="64" spans="1:24" x14ac:dyDescent="0.3">
      <c r="A64">
        <v>65</v>
      </c>
      <c r="B64" t="s">
        <v>272</v>
      </c>
      <c r="C64" t="s">
        <v>340</v>
      </c>
      <c r="D64" t="s">
        <v>341</v>
      </c>
      <c r="E64" t="s">
        <v>342</v>
      </c>
      <c r="F64" t="s">
        <v>276</v>
      </c>
      <c r="G64" t="s">
        <v>272</v>
      </c>
      <c r="H64" t="b">
        <v>0</v>
      </c>
      <c r="I64" t="s">
        <v>1797</v>
      </c>
      <c r="J64" t="s">
        <v>343</v>
      </c>
      <c r="K64" t="s">
        <v>344</v>
      </c>
      <c r="L64">
        <v>23100</v>
      </c>
      <c r="M64">
        <v>1943</v>
      </c>
      <c r="N64">
        <v>1</v>
      </c>
      <c r="O64">
        <v>1</v>
      </c>
      <c r="P64">
        <v>131.91</v>
      </c>
      <c r="Q64" s="5">
        <v>282318159745</v>
      </c>
      <c r="R64">
        <v>80</v>
      </c>
      <c r="S64">
        <v>18.2</v>
      </c>
      <c r="T64">
        <v>34</v>
      </c>
      <c r="U64">
        <v>18952038</v>
      </c>
      <c r="V64">
        <f t="shared" ca="1" si="0"/>
        <v>83.091033538672136</v>
      </c>
      <c r="W64" s="3">
        <f t="shared" si="1"/>
        <v>15707</v>
      </c>
      <c r="X64" s="3">
        <f t="shared" ca="1" si="2"/>
        <v>46056</v>
      </c>
    </row>
    <row r="65" spans="1:24"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5">
        <v>1119190780753</v>
      </c>
      <c r="R65">
        <v>71.5</v>
      </c>
      <c r="S65">
        <v>10.199999999999999</v>
      </c>
      <c r="T65">
        <v>30.1</v>
      </c>
      <c r="U65">
        <v>270203917</v>
      </c>
      <c r="V65">
        <f t="shared" ca="1" si="0"/>
        <v>86.340862422997944</v>
      </c>
      <c r="W65" s="3">
        <f t="shared" si="1"/>
        <v>14520</v>
      </c>
      <c r="X65" s="3">
        <f t="shared" ca="1" si="2"/>
        <v>46056</v>
      </c>
    </row>
    <row r="66" spans="1:24"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5">
        <v>2827113184696</v>
      </c>
      <c r="R66">
        <v>81.3</v>
      </c>
      <c r="S66">
        <v>25.5</v>
      </c>
      <c r="T66">
        <v>30.6</v>
      </c>
      <c r="U66">
        <v>66834405</v>
      </c>
      <c r="V66">
        <f t="shared" ref="V66:V129" ca="1" si="3">YEARFRAC(W66,X66,1)</f>
        <v>73.091016723397956</v>
      </c>
      <c r="W66" s="3">
        <f t="shared" si="1"/>
        <v>19360</v>
      </c>
      <c r="X66" s="3">
        <f t="shared" ca="1" si="2"/>
        <v>46056</v>
      </c>
    </row>
    <row r="67" spans="1:24"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5">
        <v>2611000000000</v>
      </c>
      <c r="R67">
        <v>69.400000000000006</v>
      </c>
      <c r="S67">
        <v>11.2</v>
      </c>
      <c r="T67">
        <v>49.7</v>
      </c>
      <c r="U67">
        <v>1366417754</v>
      </c>
      <c r="V67">
        <f t="shared" ca="1" si="3"/>
        <v>84.73509280188469</v>
      </c>
      <c r="W67" s="3">
        <f t="shared" ref="W67:W130" si="4">DATE(M67,N67,O67)</f>
        <v>15107</v>
      </c>
      <c r="X67" s="3">
        <f t="shared" ref="X67:X130" ca="1" si="5">TODAY()</f>
        <v>46056</v>
      </c>
    </row>
    <row r="68" spans="1:24"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5">
        <v>5081769542380</v>
      </c>
      <c r="R68">
        <v>84.2</v>
      </c>
      <c r="S68">
        <v>11.9</v>
      </c>
      <c r="T68">
        <v>46.7</v>
      </c>
      <c r="U68">
        <v>126226568</v>
      </c>
      <c r="V68">
        <f t="shared" ca="1" si="3"/>
        <v>68.483201001290723</v>
      </c>
      <c r="W68" s="3">
        <f t="shared" si="4"/>
        <v>21043</v>
      </c>
      <c r="X68" s="3">
        <f t="shared" ca="1" si="5"/>
        <v>46056</v>
      </c>
    </row>
    <row r="69" spans="1:24"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5">
        <v>1699876578871</v>
      </c>
      <c r="R69">
        <v>72.7</v>
      </c>
      <c r="S69">
        <v>11.4</v>
      </c>
      <c r="T69">
        <v>46.2</v>
      </c>
      <c r="U69">
        <v>144373535</v>
      </c>
      <c r="V69">
        <f t="shared" ca="1" si="3"/>
        <v>69.743338603323949</v>
      </c>
      <c r="W69" s="3">
        <f t="shared" si="4"/>
        <v>20582</v>
      </c>
      <c r="X69" s="3">
        <f t="shared" ca="1" si="5"/>
        <v>46056</v>
      </c>
    </row>
    <row r="70" spans="1:24"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5">
        <v>2715518274227</v>
      </c>
      <c r="R70">
        <v>82.5</v>
      </c>
      <c r="S70">
        <v>24.2</v>
      </c>
      <c r="T70">
        <v>60.7</v>
      </c>
      <c r="U70">
        <v>67059887</v>
      </c>
      <c r="V70">
        <f t="shared" ca="1" si="3"/>
        <v>55.3791728709352</v>
      </c>
      <c r="W70" s="3">
        <f t="shared" si="4"/>
        <v>25829</v>
      </c>
      <c r="X70" s="3">
        <f t="shared" ca="1" si="5"/>
        <v>46056</v>
      </c>
    </row>
    <row r="71" spans="1:24" x14ac:dyDescent="0.3">
      <c r="A71">
        <v>72</v>
      </c>
      <c r="B71" t="s">
        <v>49</v>
      </c>
      <c r="C71" t="s">
        <v>369</v>
      </c>
      <c r="D71" t="s">
        <v>32</v>
      </c>
      <c r="E71" t="s">
        <v>370</v>
      </c>
      <c r="F71" t="s">
        <v>371</v>
      </c>
      <c r="G71" t="s">
        <v>49</v>
      </c>
      <c r="H71" t="b">
        <v>0</v>
      </c>
      <c r="I71" t="s">
        <v>1797</v>
      </c>
      <c r="J71" t="s">
        <v>372</v>
      </c>
      <c r="K71" t="s">
        <v>373</v>
      </c>
      <c r="L71">
        <v>21600</v>
      </c>
      <c r="M71">
        <v>1961</v>
      </c>
      <c r="N71">
        <v>12</v>
      </c>
      <c r="O71">
        <v>19</v>
      </c>
      <c r="P71">
        <v>117.24</v>
      </c>
      <c r="Q71" s="5">
        <v>21427700000000</v>
      </c>
      <c r="R71">
        <v>78.5</v>
      </c>
      <c r="S71">
        <v>9.6</v>
      </c>
      <c r="T71">
        <v>36.6</v>
      </c>
      <c r="U71">
        <v>328239523</v>
      </c>
      <c r="V71">
        <f t="shared" ca="1" si="3"/>
        <v>64.127271218783704</v>
      </c>
      <c r="W71" s="3">
        <f t="shared" si="4"/>
        <v>22634</v>
      </c>
      <c r="X71" s="3">
        <f t="shared" ca="1" si="5"/>
        <v>46056</v>
      </c>
    </row>
    <row r="72" spans="1:24"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5">
        <v>1699876578871</v>
      </c>
      <c r="R72">
        <v>72.7</v>
      </c>
      <c r="S72">
        <v>11.4</v>
      </c>
      <c r="T72">
        <v>46.2</v>
      </c>
      <c r="U72">
        <v>144373535</v>
      </c>
      <c r="V72">
        <f t="shared" ca="1" si="3"/>
        <v>70.483230663928822</v>
      </c>
      <c r="W72" s="3">
        <f t="shared" si="4"/>
        <v>20312</v>
      </c>
      <c r="X72" s="3">
        <f t="shared" ca="1" si="5"/>
        <v>46056</v>
      </c>
    </row>
    <row r="73" spans="1:24"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5">
        <v>21427700000000</v>
      </c>
      <c r="R73">
        <v>78.5</v>
      </c>
      <c r="S73">
        <v>9.6</v>
      </c>
      <c r="T73">
        <v>36.6</v>
      </c>
      <c r="U73">
        <v>328239523</v>
      </c>
      <c r="V73">
        <f t="shared" ca="1" si="3"/>
        <v>39.376427378964941</v>
      </c>
      <c r="W73" s="3">
        <f t="shared" si="4"/>
        <v>31674</v>
      </c>
      <c r="X73" s="3">
        <f t="shared" ca="1" si="5"/>
        <v>46056</v>
      </c>
    </row>
    <row r="74" spans="1:24"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5">
        <v>19910000000000</v>
      </c>
      <c r="R74">
        <v>77</v>
      </c>
      <c r="S74">
        <v>9.4</v>
      </c>
      <c r="T74">
        <v>59.2</v>
      </c>
      <c r="U74">
        <v>1397715000</v>
      </c>
      <c r="V74">
        <f t="shared" ca="1" si="3"/>
        <v>55.34358038330371</v>
      </c>
      <c r="W74" s="3">
        <f t="shared" si="4"/>
        <v>25842</v>
      </c>
      <c r="X74" s="3">
        <f t="shared" ca="1" si="5"/>
        <v>46056</v>
      </c>
    </row>
    <row r="75" spans="1:24"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5">
        <v>21427700000000</v>
      </c>
      <c r="R75">
        <v>78.5</v>
      </c>
      <c r="S75">
        <v>9.6</v>
      </c>
      <c r="T75">
        <v>36.6</v>
      </c>
      <c r="U75">
        <v>328239523</v>
      </c>
      <c r="V75">
        <f t="shared" ca="1" si="3"/>
        <v>62.962354551676931</v>
      </c>
      <c r="W75" s="3">
        <f t="shared" si="4"/>
        <v>23059</v>
      </c>
      <c r="X75" s="3">
        <f t="shared" ca="1" si="5"/>
        <v>46056</v>
      </c>
    </row>
    <row r="76" spans="1:24"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5">
        <v>21427700000000</v>
      </c>
      <c r="R76">
        <v>78.5</v>
      </c>
      <c r="S76">
        <v>9.6</v>
      </c>
      <c r="T76">
        <v>36.6</v>
      </c>
      <c r="U76">
        <v>328239523</v>
      </c>
      <c r="V76">
        <f t="shared" ca="1" si="3"/>
        <v>92.880202720414758</v>
      </c>
      <c r="W76" s="3">
        <f t="shared" si="4"/>
        <v>12132</v>
      </c>
      <c r="X76" s="3">
        <f t="shared" ca="1" si="5"/>
        <v>46056</v>
      </c>
    </row>
    <row r="77" spans="1:24"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5">
        <v>5081769542380</v>
      </c>
      <c r="R77">
        <v>84.2</v>
      </c>
      <c r="S77">
        <v>11.9</v>
      </c>
      <c r="T77">
        <v>46.7</v>
      </c>
      <c r="U77">
        <v>126226568</v>
      </c>
      <c r="V77">
        <f t="shared" ca="1" si="3"/>
        <v>80.652954924874791</v>
      </c>
      <c r="W77" s="3">
        <f t="shared" si="4"/>
        <v>16598</v>
      </c>
      <c r="X77" s="3">
        <f t="shared" ca="1" si="5"/>
        <v>46056</v>
      </c>
    </row>
    <row r="78" spans="1:24"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5">
        <v>1699876578871</v>
      </c>
      <c r="R78">
        <v>72.7</v>
      </c>
      <c r="S78">
        <v>11.4</v>
      </c>
      <c r="T78">
        <v>46.2</v>
      </c>
      <c r="U78">
        <v>144373535</v>
      </c>
      <c r="V78">
        <f t="shared" ca="1" si="3"/>
        <v>60.357253256789576</v>
      </c>
      <c r="W78" s="3">
        <f t="shared" si="4"/>
        <v>24011</v>
      </c>
      <c r="X78" s="3">
        <f t="shared" ca="1" si="5"/>
        <v>46056</v>
      </c>
    </row>
    <row r="79" spans="1:24"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5">
        <v>1699876578871</v>
      </c>
      <c r="R79">
        <v>72.7</v>
      </c>
      <c r="S79">
        <v>11.4</v>
      </c>
      <c r="T79">
        <v>46.2</v>
      </c>
      <c r="U79">
        <v>144373535</v>
      </c>
      <c r="V79">
        <f t="shared" ca="1" si="3"/>
        <v>75.425721803441903</v>
      </c>
      <c r="W79" s="3">
        <f t="shared" si="4"/>
        <v>18507</v>
      </c>
      <c r="X79" s="3">
        <f t="shared" ca="1" si="5"/>
        <v>46056</v>
      </c>
    </row>
    <row r="80" spans="1:24"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5">
        <v>21427700000000</v>
      </c>
      <c r="R80">
        <v>78.5</v>
      </c>
      <c r="S80">
        <v>9.6</v>
      </c>
      <c r="T80">
        <v>36.6</v>
      </c>
      <c r="U80">
        <v>328239523</v>
      </c>
      <c r="V80">
        <f t="shared" ca="1" si="3"/>
        <v>87.480481127141843</v>
      </c>
      <c r="W80" s="3">
        <f t="shared" si="4"/>
        <v>14104</v>
      </c>
      <c r="X80" s="3">
        <f t="shared" ca="1" si="5"/>
        <v>46056</v>
      </c>
    </row>
    <row r="81" spans="1:24"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5">
        <v>1392680589329</v>
      </c>
      <c r="R81">
        <v>82.7</v>
      </c>
      <c r="S81">
        <v>23</v>
      </c>
      <c r="T81">
        <v>47.4</v>
      </c>
      <c r="U81">
        <v>25766605</v>
      </c>
      <c r="V81">
        <f t="shared" ca="1" si="3"/>
        <v>64.212146353604908</v>
      </c>
      <c r="W81" s="3">
        <f t="shared" si="4"/>
        <v>22603</v>
      </c>
      <c r="X81" s="3">
        <f t="shared" ca="1" si="5"/>
        <v>46056</v>
      </c>
    </row>
    <row r="82" spans="1:24"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5">
        <v>21427700000000</v>
      </c>
      <c r="R82">
        <v>78.5</v>
      </c>
      <c r="S82">
        <v>9.6</v>
      </c>
      <c r="T82">
        <v>36.6</v>
      </c>
      <c r="U82">
        <v>328239523</v>
      </c>
      <c r="V82">
        <f t="shared" ca="1" si="3"/>
        <v>76.491417740180424</v>
      </c>
      <c r="W82" s="3">
        <f t="shared" si="4"/>
        <v>18118</v>
      </c>
      <c r="X82" s="3">
        <f t="shared" ca="1" si="5"/>
        <v>46056</v>
      </c>
    </row>
    <row r="83" spans="1:24"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5">
        <v>19910000000000</v>
      </c>
      <c r="R83">
        <v>77</v>
      </c>
      <c r="S83">
        <v>9.4</v>
      </c>
      <c r="T83">
        <v>59.2</v>
      </c>
      <c r="U83">
        <v>1397715000</v>
      </c>
      <c r="V83">
        <f t="shared" ca="1" si="3"/>
        <v>62.677618069815196</v>
      </c>
      <c r="W83" s="3">
        <f t="shared" si="4"/>
        <v>23163</v>
      </c>
      <c r="X83" s="3">
        <f t="shared" ca="1" si="5"/>
        <v>46056</v>
      </c>
    </row>
    <row r="84" spans="1:24"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5">
        <v>19910000000000</v>
      </c>
      <c r="R84">
        <v>77</v>
      </c>
      <c r="S84">
        <v>9.4</v>
      </c>
      <c r="T84">
        <v>59.2</v>
      </c>
      <c r="U84">
        <v>1397715000</v>
      </c>
      <c r="V84">
        <f t="shared" ca="1" si="3"/>
        <v>57.926774941995362</v>
      </c>
      <c r="W84" s="3">
        <f t="shared" si="4"/>
        <v>24898</v>
      </c>
      <c r="X84" s="3">
        <f t="shared" ca="1" si="5"/>
        <v>46056</v>
      </c>
    </row>
    <row r="85" spans="1:24"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5">
        <v>19910000000000</v>
      </c>
      <c r="R85">
        <v>77</v>
      </c>
      <c r="S85">
        <v>9.4</v>
      </c>
      <c r="T85">
        <v>59.2</v>
      </c>
      <c r="U85">
        <v>1397715000</v>
      </c>
      <c r="V85">
        <f t="shared" ca="1" si="3"/>
        <v>60.80079487745639</v>
      </c>
      <c r="W85" s="3">
        <f t="shared" si="4"/>
        <v>23849</v>
      </c>
      <c r="X85" s="3">
        <f t="shared" ca="1" si="5"/>
        <v>46056</v>
      </c>
    </row>
    <row r="86" spans="1:24"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5">
        <v>19910000000000</v>
      </c>
      <c r="R86">
        <v>77</v>
      </c>
      <c r="S86">
        <v>9.4</v>
      </c>
      <c r="T86">
        <v>59.2</v>
      </c>
      <c r="U86">
        <v>1397715000</v>
      </c>
      <c r="V86">
        <f t="shared" ca="1" si="3"/>
        <v>59.967818671454218</v>
      </c>
      <c r="W86" s="3">
        <f t="shared" si="4"/>
        <v>24153</v>
      </c>
      <c r="X86" s="3">
        <f t="shared" ca="1" si="5"/>
        <v>46056</v>
      </c>
    </row>
    <row r="87" spans="1:24"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5">
        <v>21427700000000</v>
      </c>
      <c r="R87">
        <v>78.5</v>
      </c>
      <c r="S87">
        <v>9.6</v>
      </c>
      <c r="T87">
        <v>36.6</v>
      </c>
      <c r="U87">
        <v>328239523</v>
      </c>
      <c r="V87">
        <f t="shared" ca="1" si="3"/>
        <v>80.149181969949922</v>
      </c>
      <c r="W87" s="3">
        <f t="shared" si="4"/>
        <v>16782</v>
      </c>
      <c r="X87" s="3">
        <f t="shared" ca="1" si="5"/>
        <v>46056</v>
      </c>
    </row>
    <row r="88" spans="1:24"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5">
        <v>21427700000000</v>
      </c>
      <c r="R88">
        <v>78.5</v>
      </c>
      <c r="S88">
        <v>9.6</v>
      </c>
      <c r="T88">
        <v>36.6</v>
      </c>
      <c r="U88">
        <v>328239523</v>
      </c>
      <c r="V88">
        <f t="shared" ca="1" si="3"/>
        <v>68.398325967066924</v>
      </c>
      <c r="W88" s="3">
        <f t="shared" si="4"/>
        <v>21074</v>
      </c>
      <c r="X88" s="3">
        <f t="shared" ca="1" si="5"/>
        <v>46056</v>
      </c>
    </row>
    <row r="89" spans="1:24"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5">
        <v>1699876578871</v>
      </c>
      <c r="R89">
        <v>72.7</v>
      </c>
      <c r="S89">
        <v>11.4</v>
      </c>
      <c r="T89">
        <v>46.2</v>
      </c>
      <c r="U89">
        <v>144373535</v>
      </c>
      <c r="V89">
        <f t="shared" ca="1" si="3"/>
        <v>73.234102358180621</v>
      </c>
      <c r="W89" s="3">
        <f t="shared" si="4"/>
        <v>19307</v>
      </c>
      <c r="X89" s="3">
        <f t="shared" ca="1" si="5"/>
        <v>46056</v>
      </c>
    </row>
    <row r="90" spans="1:24"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5">
        <v>21427700000000</v>
      </c>
      <c r="R90">
        <v>78.5</v>
      </c>
      <c r="S90">
        <v>9.6</v>
      </c>
      <c r="T90">
        <v>36.6</v>
      </c>
      <c r="U90">
        <v>328239523</v>
      </c>
      <c r="V90">
        <f t="shared" ca="1" si="3"/>
        <v>64.047217893096331</v>
      </c>
      <c r="W90" s="3">
        <f t="shared" si="4"/>
        <v>22663</v>
      </c>
      <c r="X90" s="3">
        <f t="shared" ca="1" si="5"/>
        <v>46056</v>
      </c>
    </row>
    <row r="91" spans="1:24"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5">
        <v>2827113184696</v>
      </c>
      <c r="R91">
        <v>81.3</v>
      </c>
      <c r="S91">
        <v>25.5</v>
      </c>
      <c r="T91">
        <v>30.6</v>
      </c>
      <c r="U91">
        <v>66834405</v>
      </c>
      <c r="V91">
        <f t="shared" ca="1" si="3"/>
        <v>75.639276063148912</v>
      </c>
      <c r="W91" s="3">
        <f t="shared" si="4"/>
        <v>18429</v>
      </c>
      <c r="X91" s="3">
        <f t="shared" ca="1" si="5"/>
        <v>46056</v>
      </c>
    </row>
    <row r="92" spans="1:24"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5">
        <v>21427700000000</v>
      </c>
      <c r="R92">
        <v>78.5</v>
      </c>
      <c r="S92">
        <v>9.6</v>
      </c>
      <c r="T92">
        <v>36.6</v>
      </c>
      <c r="U92">
        <v>328239523</v>
      </c>
      <c r="V92">
        <f t="shared" ca="1" si="3"/>
        <v>69.6475147495469</v>
      </c>
      <c r="W92" s="3">
        <f t="shared" si="4"/>
        <v>20617</v>
      </c>
      <c r="X92" s="3">
        <f t="shared" ca="1" si="5"/>
        <v>46056</v>
      </c>
    </row>
    <row r="93" spans="1:24"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5">
        <v>21427700000000</v>
      </c>
      <c r="R93">
        <v>78.5</v>
      </c>
      <c r="S93">
        <v>9.6</v>
      </c>
      <c r="T93">
        <v>36.6</v>
      </c>
      <c r="U93">
        <v>328239523</v>
      </c>
      <c r="V93">
        <f t="shared" ca="1" si="3"/>
        <v>89.965100186533476</v>
      </c>
      <c r="W93" s="3">
        <f t="shared" si="4"/>
        <v>13196</v>
      </c>
      <c r="X93" s="3">
        <f t="shared" ca="1" si="5"/>
        <v>46056</v>
      </c>
    </row>
    <row r="94" spans="1:24" x14ac:dyDescent="0.3">
      <c r="A94">
        <v>94</v>
      </c>
      <c r="B94" t="s">
        <v>272</v>
      </c>
      <c r="C94" t="s">
        <v>458</v>
      </c>
      <c r="D94" t="s">
        <v>74</v>
      </c>
      <c r="E94" t="s">
        <v>459</v>
      </c>
      <c r="F94" t="s">
        <v>449</v>
      </c>
      <c r="G94" t="s">
        <v>272</v>
      </c>
      <c r="H94" t="b">
        <v>0</v>
      </c>
      <c r="I94" t="s">
        <v>1797</v>
      </c>
      <c r="J94" t="s">
        <v>460</v>
      </c>
      <c r="K94" t="s">
        <v>461</v>
      </c>
      <c r="L94">
        <v>17500</v>
      </c>
      <c r="M94">
        <v>1950</v>
      </c>
      <c r="N94">
        <v>3</v>
      </c>
      <c r="O94">
        <v>20</v>
      </c>
      <c r="P94">
        <v>180.44</v>
      </c>
      <c r="Q94" s="5">
        <v>2611000000000</v>
      </c>
      <c r="R94">
        <v>69.400000000000006</v>
      </c>
      <c r="S94">
        <v>11.2</v>
      </c>
      <c r="T94">
        <v>49.7</v>
      </c>
      <c r="U94">
        <v>1366417754</v>
      </c>
      <c r="V94">
        <f t="shared" ca="1" si="3"/>
        <v>75.877471198975968</v>
      </c>
      <c r="W94" s="3">
        <f t="shared" si="4"/>
        <v>18342</v>
      </c>
      <c r="X94" s="3">
        <f t="shared" ca="1" si="5"/>
        <v>46056</v>
      </c>
    </row>
    <row r="95" spans="1:24"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5">
        <v>21427700000000</v>
      </c>
      <c r="R95">
        <v>78.5</v>
      </c>
      <c r="S95">
        <v>9.6</v>
      </c>
      <c r="T95">
        <v>36.6</v>
      </c>
      <c r="U95">
        <v>328239523</v>
      </c>
      <c r="V95">
        <f t="shared" ca="1" si="3"/>
        <v>93.732384218565372</v>
      </c>
      <c r="W95" s="3">
        <f t="shared" si="4"/>
        <v>11820</v>
      </c>
      <c r="X95" s="3">
        <f t="shared" ca="1" si="5"/>
        <v>46056</v>
      </c>
    </row>
    <row r="96" spans="1:24"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5">
        <v>21427700000000</v>
      </c>
      <c r="R96">
        <v>78.5</v>
      </c>
      <c r="S96">
        <v>9.6</v>
      </c>
      <c r="T96">
        <v>36.6</v>
      </c>
      <c r="U96">
        <v>328239523</v>
      </c>
      <c r="V96">
        <f t="shared" ca="1" si="3"/>
        <v>86.033546275608145</v>
      </c>
      <c r="W96" s="3">
        <f t="shared" si="4"/>
        <v>14632</v>
      </c>
      <c r="X96" s="3">
        <f t="shared" ca="1" si="5"/>
        <v>46056</v>
      </c>
    </row>
    <row r="97" spans="1:24"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5">
        <v>21427700000000</v>
      </c>
      <c r="R97">
        <v>78.5</v>
      </c>
      <c r="S97">
        <v>9.6</v>
      </c>
      <c r="T97">
        <v>36.6</v>
      </c>
      <c r="U97">
        <v>328239523</v>
      </c>
      <c r="V97">
        <f t="shared" ca="1" si="3"/>
        <v>94.902121834360031</v>
      </c>
      <c r="W97" s="3">
        <f t="shared" si="4"/>
        <v>11393</v>
      </c>
      <c r="X97" s="3">
        <f t="shared" ca="1" si="5"/>
        <v>46056</v>
      </c>
    </row>
    <row r="98" spans="1:24" x14ac:dyDescent="0.3">
      <c r="A98">
        <v>100</v>
      </c>
      <c r="B98" t="s">
        <v>49</v>
      </c>
      <c r="C98" t="s">
        <v>476</v>
      </c>
      <c r="D98" t="s">
        <v>170</v>
      </c>
      <c r="E98" t="s">
        <v>477</v>
      </c>
      <c r="F98" t="s">
        <v>478</v>
      </c>
      <c r="G98" t="s">
        <v>49</v>
      </c>
      <c r="H98" t="b">
        <v>0</v>
      </c>
      <c r="I98" t="s">
        <v>1797</v>
      </c>
      <c r="J98" t="s">
        <v>479</v>
      </c>
      <c r="K98" t="s">
        <v>480</v>
      </c>
      <c r="L98">
        <v>16700</v>
      </c>
      <c r="M98">
        <v>1953</v>
      </c>
      <c r="N98">
        <v>1</v>
      </c>
      <c r="O98">
        <v>1</v>
      </c>
      <c r="P98">
        <v>99.55</v>
      </c>
      <c r="Q98" s="5">
        <v>703082435360</v>
      </c>
      <c r="R98">
        <v>83.6</v>
      </c>
      <c r="S98">
        <v>10.1</v>
      </c>
      <c r="T98">
        <v>28.8</v>
      </c>
      <c r="U98">
        <v>8574832</v>
      </c>
      <c r="V98">
        <f t="shared" ca="1" si="3"/>
        <v>73.091016723397956</v>
      </c>
      <c r="W98" s="3">
        <f t="shared" si="4"/>
        <v>19360</v>
      </c>
      <c r="X98" s="3">
        <f t="shared" ca="1" si="5"/>
        <v>46056</v>
      </c>
    </row>
    <row r="99" spans="1:24"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5">
        <v>3845630030824</v>
      </c>
      <c r="R99">
        <v>80.900000000000006</v>
      </c>
      <c r="S99">
        <v>11.5</v>
      </c>
      <c r="T99">
        <v>48.8</v>
      </c>
      <c r="U99">
        <v>83132799</v>
      </c>
      <c r="V99">
        <f t="shared" ca="1" si="3"/>
        <v>75.091033538672136</v>
      </c>
      <c r="W99" s="3">
        <f t="shared" si="4"/>
        <v>18629</v>
      </c>
      <c r="X99" s="3">
        <f t="shared" ca="1" si="5"/>
        <v>46056</v>
      </c>
    </row>
    <row r="100" spans="1:24"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5">
        <v>246489245495</v>
      </c>
      <c r="R100">
        <v>79</v>
      </c>
      <c r="S100">
        <v>14.9</v>
      </c>
      <c r="T100">
        <v>46.1</v>
      </c>
      <c r="U100">
        <v>10669709</v>
      </c>
      <c r="V100">
        <f t="shared" ca="1" si="3"/>
        <v>58.587268993839835</v>
      </c>
      <c r="W100" s="3">
        <f t="shared" si="4"/>
        <v>24657</v>
      </c>
      <c r="X100" s="3">
        <f t="shared" ca="1" si="5"/>
        <v>46056</v>
      </c>
    </row>
    <row r="101" spans="1:24"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5">
        <v>19910000000000</v>
      </c>
      <c r="R101">
        <v>77</v>
      </c>
      <c r="S101">
        <v>9.4</v>
      </c>
      <c r="T101">
        <v>59.2</v>
      </c>
      <c r="U101">
        <v>1397715000</v>
      </c>
      <c r="V101">
        <f t="shared" ca="1" si="3"/>
        <v>75.091033538672136</v>
      </c>
      <c r="W101" s="3">
        <f t="shared" si="4"/>
        <v>18629</v>
      </c>
      <c r="X101" s="3">
        <f t="shared" ca="1" si="5"/>
        <v>46056</v>
      </c>
    </row>
    <row r="102" spans="1:24"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5">
        <v>530832908738</v>
      </c>
      <c r="R102">
        <v>82.5</v>
      </c>
      <c r="S102">
        <v>27.9</v>
      </c>
      <c r="T102">
        <v>49.1</v>
      </c>
      <c r="U102">
        <v>10285453</v>
      </c>
      <c r="V102">
        <f t="shared" ca="1" si="3"/>
        <v>78.335386721423689</v>
      </c>
      <c r="W102" s="3">
        <f t="shared" si="4"/>
        <v>17444</v>
      </c>
      <c r="X102" s="3">
        <f t="shared" ca="1" si="5"/>
        <v>46056</v>
      </c>
    </row>
    <row r="103" spans="1:24"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5">
        <v>21427700000000</v>
      </c>
      <c r="R103">
        <v>78.5</v>
      </c>
      <c r="S103">
        <v>9.6</v>
      </c>
      <c r="T103">
        <v>36.6</v>
      </c>
      <c r="U103">
        <v>328239523</v>
      </c>
      <c r="V103">
        <f t="shared" ca="1" si="3"/>
        <v>70.773442847364819</v>
      </c>
      <c r="W103" s="3">
        <f t="shared" si="4"/>
        <v>20206</v>
      </c>
      <c r="X103" s="3">
        <f t="shared" ca="1" si="5"/>
        <v>46056</v>
      </c>
    </row>
    <row r="104" spans="1:24"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5">
        <v>703082435360</v>
      </c>
      <c r="R104">
        <v>83.6</v>
      </c>
      <c r="S104">
        <v>10.1</v>
      </c>
      <c r="T104">
        <v>28.8</v>
      </c>
      <c r="U104">
        <v>8574832</v>
      </c>
      <c r="V104">
        <f t="shared" ca="1" si="3"/>
        <v>57.880232018561486</v>
      </c>
      <c r="W104" s="3">
        <f t="shared" si="4"/>
        <v>24915</v>
      </c>
      <c r="X104" s="3">
        <f t="shared" ca="1" si="5"/>
        <v>46056</v>
      </c>
    </row>
    <row r="105" spans="1:24"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5">
        <v>19910000000000</v>
      </c>
      <c r="R105">
        <v>77</v>
      </c>
      <c r="S105">
        <v>9.4</v>
      </c>
      <c r="T105">
        <v>59.2</v>
      </c>
      <c r="U105">
        <v>1397715000</v>
      </c>
      <c r="V105">
        <f t="shared" ca="1" si="3"/>
        <v>70.041761462229587</v>
      </c>
      <c r="W105" s="3">
        <f t="shared" si="4"/>
        <v>20473</v>
      </c>
      <c r="X105" s="3">
        <f t="shared" ca="1" si="5"/>
        <v>46056</v>
      </c>
    </row>
    <row r="106" spans="1:24"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5">
        <v>703082435360</v>
      </c>
      <c r="R106">
        <v>83.6</v>
      </c>
      <c r="S106">
        <v>10.1</v>
      </c>
      <c r="T106">
        <v>28.8</v>
      </c>
      <c r="U106">
        <v>8574832</v>
      </c>
      <c r="V106">
        <f t="shared" ca="1" si="3"/>
        <v>86.442162902121837</v>
      </c>
      <c r="W106" s="3">
        <f t="shared" si="4"/>
        <v>14483</v>
      </c>
      <c r="X106" s="3">
        <f t="shared" ca="1" si="5"/>
        <v>46056</v>
      </c>
    </row>
    <row r="107" spans="1:24"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5">
        <v>2611000000000</v>
      </c>
      <c r="R107">
        <v>69.400000000000006</v>
      </c>
      <c r="S107">
        <v>11.2</v>
      </c>
      <c r="T107">
        <v>49.7</v>
      </c>
      <c r="U107">
        <v>1366417754</v>
      </c>
      <c r="V107">
        <f t="shared" ca="1" si="3"/>
        <v>70.343600273785086</v>
      </c>
      <c r="W107" s="3">
        <f t="shared" si="4"/>
        <v>20363</v>
      </c>
      <c r="X107" s="3">
        <f t="shared" ca="1" si="5"/>
        <v>46056</v>
      </c>
    </row>
    <row r="108" spans="1:24"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5">
        <v>21427700000000</v>
      </c>
      <c r="R108">
        <v>78.5</v>
      </c>
      <c r="S108">
        <v>9.6</v>
      </c>
      <c r="T108">
        <v>36.6</v>
      </c>
      <c r="U108">
        <v>328239523</v>
      </c>
      <c r="V108">
        <f t="shared" ca="1" si="3"/>
        <v>47.904844387327486</v>
      </c>
      <c r="W108" s="3">
        <f t="shared" si="4"/>
        <v>28559</v>
      </c>
      <c r="X108" s="3">
        <f t="shared" ca="1" si="5"/>
        <v>46056</v>
      </c>
    </row>
    <row r="109" spans="1:24"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5">
        <v>2611000000000</v>
      </c>
      <c r="R109">
        <v>69.400000000000006</v>
      </c>
      <c r="S109">
        <v>11.2</v>
      </c>
      <c r="T109">
        <v>49.7</v>
      </c>
      <c r="U109">
        <v>1366417754</v>
      </c>
      <c r="V109">
        <f t="shared" ca="1" si="3"/>
        <v>71.091033538672136</v>
      </c>
      <c r="W109" s="3">
        <f t="shared" si="4"/>
        <v>20090</v>
      </c>
      <c r="X109" s="3">
        <f t="shared" ca="1" si="5"/>
        <v>46056</v>
      </c>
    </row>
    <row r="110" spans="1:24"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5">
        <v>19910000000000</v>
      </c>
      <c r="R110">
        <v>77</v>
      </c>
      <c r="S110">
        <v>9.4</v>
      </c>
      <c r="T110">
        <v>59.2</v>
      </c>
      <c r="U110">
        <v>1397715000</v>
      </c>
      <c r="V110">
        <f t="shared" ca="1" si="3"/>
        <v>59.091033538672143</v>
      </c>
      <c r="W110" s="3">
        <f t="shared" si="4"/>
        <v>24473</v>
      </c>
      <c r="X110" s="3">
        <f t="shared" ca="1" si="5"/>
        <v>46056</v>
      </c>
    </row>
    <row r="111" spans="1:24"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5">
        <v>543649976166</v>
      </c>
      <c r="R111">
        <v>76.900000000000006</v>
      </c>
      <c r="S111">
        <v>14.9</v>
      </c>
      <c r="T111">
        <v>29.5</v>
      </c>
      <c r="U111">
        <v>69625582</v>
      </c>
      <c r="V111">
        <f t="shared" ca="1" si="3"/>
        <v>86.795345653661869</v>
      </c>
      <c r="W111" s="3">
        <f t="shared" si="4"/>
        <v>14354</v>
      </c>
      <c r="X111" s="3">
        <f t="shared" ca="1" si="5"/>
        <v>46056</v>
      </c>
    </row>
    <row r="112" spans="1:24"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5">
        <v>21427700000000</v>
      </c>
      <c r="R112">
        <v>78.5</v>
      </c>
      <c r="S112">
        <v>9.6</v>
      </c>
      <c r="T112">
        <v>36.6</v>
      </c>
      <c r="U112">
        <v>328239523</v>
      </c>
      <c r="V112">
        <f t="shared" ca="1" si="3"/>
        <v>84.225844449396703</v>
      </c>
      <c r="W112" s="3">
        <f t="shared" si="4"/>
        <v>15293</v>
      </c>
      <c r="X112" s="3">
        <f t="shared" ca="1" si="5"/>
        <v>46056</v>
      </c>
    </row>
    <row r="113" spans="1:24"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5">
        <v>543649976166</v>
      </c>
      <c r="R113">
        <v>76.900000000000006</v>
      </c>
      <c r="S113">
        <v>14.9</v>
      </c>
      <c r="T113">
        <v>29.5</v>
      </c>
      <c r="U113">
        <v>69625582</v>
      </c>
      <c r="V113">
        <f t="shared" ca="1" si="3"/>
        <v>81.757025992875043</v>
      </c>
      <c r="W113" s="3">
        <f t="shared" si="4"/>
        <v>16194</v>
      </c>
      <c r="X113" s="3">
        <f t="shared" ca="1" si="5"/>
        <v>46056</v>
      </c>
    </row>
    <row r="114" spans="1:24"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5">
        <v>2827113184696</v>
      </c>
      <c r="R114">
        <v>81.3</v>
      </c>
      <c r="S114">
        <v>25.5</v>
      </c>
      <c r="T114">
        <v>30.6</v>
      </c>
      <c r="U114">
        <v>66834405</v>
      </c>
      <c r="V114">
        <f t="shared" ca="1" si="3"/>
        <v>71.598207253497364</v>
      </c>
      <c r="W114" s="3">
        <f t="shared" si="4"/>
        <v>19905</v>
      </c>
      <c r="X114" s="3">
        <f t="shared" ca="1" si="5"/>
        <v>46056</v>
      </c>
    </row>
    <row r="115" spans="1:24"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5">
        <v>19910000000000</v>
      </c>
      <c r="R115">
        <v>77</v>
      </c>
      <c r="S115">
        <v>9.4</v>
      </c>
      <c r="T115">
        <v>59.2</v>
      </c>
      <c r="U115">
        <v>1397715000</v>
      </c>
      <c r="V115">
        <f t="shared" ca="1" si="3"/>
        <v>63.704982940903925</v>
      </c>
      <c r="W115" s="3">
        <f t="shared" si="4"/>
        <v>22788</v>
      </c>
      <c r="X115" s="3">
        <f t="shared" ca="1" si="5"/>
        <v>46056</v>
      </c>
    </row>
    <row r="116" spans="1:24"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5">
        <v>19910000000000</v>
      </c>
      <c r="R116">
        <v>77</v>
      </c>
      <c r="S116">
        <v>9.4</v>
      </c>
      <c r="T116">
        <v>59.2</v>
      </c>
      <c r="U116">
        <v>1397715000</v>
      </c>
      <c r="V116">
        <f t="shared" ca="1" si="3"/>
        <v>61.926774151492765</v>
      </c>
      <c r="W116" s="3">
        <f t="shared" si="4"/>
        <v>23437</v>
      </c>
      <c r="X116" s="3">
        <f t="shared" ca="1" si="5"/>
        <v>46056</v>
      </c>
    </row>
    <row r="117" spans="1:24"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5">
        <v>372062527489</v>
      </c>
      <c r="R117">
        <v>83.1</v>
      </c>
      <c r="S117">
        <v>13.1</v>
      </c>
      <c r="T117">
        <v>21</v>
      </c>
      <c r="U117">
        <v>5703569</v>
      </c>
      <c r="V117">
        <f t="shared" ca="1" si="3"/>
        <v>98.606433949349764</v>
      </c>
      <c r="W117" s="3">
        <f t="shared" si="4"/>
        <v>10040</v>
      </c>
      <c r="X117" s="3">
        <f t="shared" ca="1" si="5"/>
        <v>46056</v>
      </c>
    </row>
    <row r="118" spans="1:24"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5">
        <v>2611000000000</v>
      </c>
      <c r="R118">
        <v>69.400000000000006</v>
      </c>
      <c r="S118">
        <v>11.2</v>
      </c>
      <c r="T118">
        <v>49.7</v>
      </c>
      <c r="U118">
        <v>1366417754</v>
      </c>
      <c r="V118">
        <f t="shared" ca="1" si="3"/>
        <v>58.64202600958248</v>
      </c>
      <c r="W118" s="3">
        <f t="shared" si="4"/>
        <v>24637</v>
      </c>
      <c r="X118" s="3">
        <f t="shared" ca="1" si="5"/>
        <v>46056</v>
      </c>
    </row>
    <row r="119" spans="1:24"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5">
        <v>448120428859</v>
      </c>
      <c r="R119">
        <v>54.3</v>
      </c>
      <c r="S119">
        <v>1.5</v>
      </c>
      <c r="T119">
        <v>34.799999999999997</v>
      </c>
      <c r="U119">
        <v>200963599</v>
      </c>
      <c r="V119">
        <f t="shared" ca="1" si="3"/>
        <v>68.819963233856143</v>
      </c>
      <c r="W119" s="3">
        <f t="shared" si="4"/>
        <v>20920</v>
      </c>
      <c r="X119" s="3">
        <f t="shared" ca="1" si="5"/>
        <v>46056</v>
      </c>
    </row>
    <row r="120" spans="1:24"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5">
        <v>2827113184696</v>
      </c>
      <c r="R120">
        <v>81.3</v>
      </c>
      <c r="S120">
        <v>25.5</v>
      </c>
      <c r="T120">
        <v>30.6</v>
      </c>
      <c r="U120">
        <v>66834405</v>
      </c>
      <c r="V120">
        <f t="shared" ca="1" si="3"/>
        <v>70.340862422997944</v>
      </c>
      <c r="W120" s="3">
        <f t="shared" si="4"/>
        <v>20364</v>
      </c>
      <c r="X120" s="3">
        <f t="shared" ca="1" si="5"/>
        <v>46056</v>
      </c>
    </row>
    <row r="121" spans="1:24"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5">
        <v>19910000000000</v>
      </c>
      <c r="R121">
        <v>77</v>
      </c>
      <c r="S121">
        <v>9.4</v>
      </c>
      <c r="T121">
        <v>59.2</v>
      </c>
      <c r="U121">
        <v>1397715000</v>
      </c>
      <c r="V121">
        <f t="shared" ca="1" si="3"/>
        <v>60.425701037756681</v>
      </c>
      <c r="W121" s="3">
        <f t="shared" si="4"/>
        <v>23986</v>
      </c>
      <c r="X121" s="3">
        <f t="shared" ca="1" si="5"/>
        <v>46056</v>
      </c>
    </row>
    <row r="122" spans="1:24"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5">
        <v>2827113184696</v>
      </c>
      <c r="R122">
        <v>81.3</v>
      </c>
      <c r="S122">
        <v>25.5</v>
      </c>
      <c r="T122">
        <v>30.6</v>
      </c>
      <c r="U122">
        <v>66834405</v>
      </c>
      <c r="V122">
        <f t="shared" ca="1" si="3"/>
        <v>81.006143572621028</v>
      </c>
      <c r="W122" s="3">
        <f t="shared" si="4"/>
        <v>16469</v>
      </c>
      <c r="X122" s="3">
        <f t="shared" ca="1" si="5"/>
        <v>46056</v>
      </c>
    </row>
    <row r="123" spans="1:24"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5">
        <v>21427700000000</v>
      </c>
      <c r="R123">
        <v>78.5</v>
      </c>
      <c r="S123">
        <v>9.6</v>
      </c>
      <c r="T123">
        <v>36.6</v>
      </c>
      <c r="U123">
        <v>328239523</v>
      </c>
      <c r="V123">
        <f t="shared" ca="1" si="3"/>
        <v>78.926762491444222</v>
      </c>
      <c r="W123" s="3">
        <f t="shared" si="4"/>
        <v>17228</v>
      </c>
      <c r="X123" s="3">
        <f t="shared" ca="1" si="5"/>
        <v>46056</v>
      </c>
    </row>
    <row r="124" spans="1:24"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5">
        <v>21427700000000</v>
      </c>
      <c r="R124">
        <v>78.5</v>
      </c>
      <c r="S124">
        <v>9.6</v>
      </c>
      <c r="T124">
        <v>36.6</v>
      </c>
      <c r="U124">
        <v>328239523</v>
      </c>
      <c r="V124">
        <f t="shared" ca="1" si="3"/>
        <v>49.943203779257033</v>
      </c>
      <c r="W124" s="3">
        <f t="shared" si="4"/>
        <v>27814</v>
      </c>
      <c r="X124" s="3">
        <f t="shared" ca="1" si="5"/>
        <v>46056</v>
      </c>
    </row>
    <row r="125" spans="1:24"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5">
        <v>21427700000000</v>
      </c>
      <c r="R125">
        <v>78.5</v>
      </c>
      <c r="S125">
        <v>9.6</v>
      </c>
      <c r="T125">
        <v>36.6</v>
      </c>
      <c r="U125">
        <v>328239523</v>
      </c>
      <c r="V125">
        <f t="shared" ca="1" si="3"/>
        <v>83.310732461508735</v>
      </c>
      <c r="W125" s="3">
        <f t="shared" si="4"/>
        <v>15627</v>
      </c>
      <c r="X125" s="3">
        <f t="shared" ca="1" si="5"/>
        <v>46056</v>
      </c>
    </row>
    <row r="126" spans="1:24"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5">
        <v>21427700000000</v>
      </c>
      <c r="R126">
        <v>78.5</v>
      </c>
      <c r="S126">
        <v>9.6</v>
      </c>
      <c r="T126">
        <v>36.6</v>
      </c>
      <c r="U126">
        <v>328239523</v>
      </c>
      <c r="V126">
        <f t="shared" ca="1" si="3"/>
        <v>83.51881079688205</v>
      </c>
      <c r="W126" s="3">
        <f t="shared" si="4"/>
        <v>15551</v>
      </c>
      <c r="X126" s="3">
        <f t="shared" ca="1" si="5"/>
        <v>46056</v>
      </c>
    </row>
    <row r="127" spans="1:24"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5">
        <v>19910000000000</v>
      </c>
      <c r="R127">
        <v>77</v>
      </c>
      <c r="S127">
        <v>9.4</v>
      </c>
      <c r="T127">
        <v>59.2</v>
      </c>
      <c r="U127">
        <v>1397715000</v>
      </c>
      <c r="V127">
        <f t="shared" ca="1" si="3"/>
        <v>63.102649425045279</v>
      </c>
      <c r="W127" s="3">
        <f t="shared" si="4"/>
        <v>23008</v>
      </c>
      <c r="X127" s="3">
        <f t="shared" ca="1" si="5"/>
        <v>46056</v>
      </c>
    </row>
    <row r="128" spans="1:24"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5">
        <v>1392680589329</v>
      </c>
      <c r="R128">
        <v>82.7</v>
      </c>
      <c r="S128">
        <v>23</v>
      </c>
      <c r="T128">
        <v>47.4</v>
      </c>
      <c r="U128">
        <v>25766605</v>
      </c>
      <c r="V128">
        <f t="shared" ca="1" si="3"/>
        <v>92.924008970960884</v>
      </c>
      <c r="W128" s="3">
        <f t="shared" si="4"/>
        <v>12116</v>
      </c>
      <c r="X128" s="3">
        <f t="shared" ca="1" si="5"/>
        <v>46056</v>
      </c>
    </row>
    <row r="129" spans="1:24"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5">
        <v>2611000000000</v>
      </c>
      <c r="R129">
        <v>69.400000000000006</v>
      </c>
      <c r="S129">
        <v>11.2</v>
      </c>
      <c r="T129">
        <v>49.7</v>
      </c>
      <c r="U129">
        <v>1366417754</v>
      </c>
      <c r="V129">
        <f t="shared" ca="1" si="3"/>
        <v>66.891170431211492</v>
      </c>
      <c r="W129" s="3">
        <f t="shared" si="4"/>
        <v>21624</v>
      </c>
      <c r="X129" s="3">
        <f t="shared" ca="1" si="5"/>
        <v>46056</v>
      </c>
    </row>
    <row r="130" spans="1:24"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5">
        <v>21427700000000</v>
      </c>
      <c r="R130">
        <v>78.5</v>
      </c>
      <c r="S130">
        <v>9.6</v>
      </c>
      <c r="T130">
        <v>36.6</v>
      </c>
      <c r="U130">
        <v>328239523</v>
      </c>
      <c r="V130">
        <f t="shared" ref="V130:V193" ca="1" si="6">YEARFRAC(W130,X130,1)</f>
        <v>78.518822724161538</v>
      </c>
      <c r="W130" s="3">
        <f t="shared" si="4"/>
        <v>17377</v>
      </c>
      <c r="X130" s="3">
        <f t="shared" ca="1" si="5"/>
        <v>46056</v>
      </c>
    </row>
    <row r="131" spans="1:24"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5">
        <v>2827113184696</v>
      </c>
      <c r="R131">
        <v>81.3</v>
      </c>
      <c r="S131">
        <v>25.5</v>
      </c>
      <c r="T131">
        <v>30.6</v>
      </c>
      <c r="U131">
        <v>66834405</v>
      </c>
      <c r="V131">
        <f t="shared" ca="1" si="6"/>
        <v>61.787145278345136</v>
      </c>
      <c r="W131" s="3">
        <f t="shared" ref="W131:W194" si="7">DATE(M131,N131,O131)</f>
        <v>23488</v>
      </c>
      <c r="X131" s="3">
        <f t="shared" ref="X131:X194" ca="1" si="8">TODAY()</f>
        <v>46056</v>
      </c>
    </row>
    <row r="132" spans="1:24"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5">
        <v>543649976166</v>
      </c>
      <c r="R132">
        <v>76.900000000000006</v>
      </c>
      <c r="S132">
        <v>14.9</v>
      </c>
      <c r="T132">
        <v>29.5</v>
      </c>
      <c r="U132">
        <v>69625582</v>
      </c>
      <c r="V132">
        <f t="shared" ca="1" si="6"/>
        <v>60.565334510929567</v>
      </c>
      <c r="W132" s="3">
        <f t="shared" si="7"/>
        <v>23935</v>
      </c>
      <c r="X132" s="3">
        <f t="shared" ca="1" si="8"/>
        <v>46056</v>
      </c>
    </row>
    <row r="133" spans="1:24"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5">
        <v>19910000000000</v>
      </c>
      <c r="R133">
        <v>77</v>
      </c>
      <c r="S133">
        <v>9.4</v>
      </c>
      <c r="T133">
        <v>59.2</v>
      </c>
      <c r="U133">
        <v>1397715000</v>
      </c>
      <c r="V133">
        <f t="shared" ca="1" si="6"/>
        <v>53.006134969325153</v>
      </c>
      <c r="W133" s="3">
        <f t="shared" si="7"/>
        <v>26696</v>
      </c>
      <c r="X133" s="3">
        <f t="shared" ca="1" si="8"/>
        <v>46056</v>
      </c>
    </row>
    <row r="134" spans="1:24"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5">
        <v>19910000000000</v>
      </c>
      <c r="R134">
        <v>77</v>
      </c>
      <c r="S134">
        <v>9.4</v>
      </c>
      <c r="T134">
        <v>59.2</v>
      </c>
      <c r="U134">
        <v>1397715000</v>
      </c>
      <c r="V134">
        <f t="shared" ca="1" si="6"/>
        <v>72.324404321444433</v>
      </c>
      <c r="W134" s="3">
        <f t="shared" si="7"/>
        <v>19640</v>
      </c>
      <c r="X134" s="3">
        <f t="shared" ca="1" si="8"/>
        <v>46056</v>
      </c>
    </row>
    <row r="135" spans="1:24"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5">
        <v>21427700000000</v>
      </c>
      <c r="R135">
        <v>78.5</v>
      </c>
      <c r="S135">
        <v>9.6</v>
      </c>
      <c r="T135">
        <v>36.6</v>
      </c>
      <c r="U135">
        <v>328239523</v>
      </c>
      <c r="V135">
        <f t="shared" ca="1" si="6"/>
        <v>75.548926184042102</v>
      </c>
      <c r="W135" s="3">
        <f t="shared" si="7"/>
        <v>18462</v>
      </c>
      <c r="X135" s="3">
        <f t="shared" ca="1" si="8"/>
        <v>46056</v>
      </c>
    </row>
    <row r="136" spans="1:24"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5">
        <v>21427700000000</v>
      </c>
      <c r="R136">
        <v>78.5</v>
      </c>
      <c r="S136">
        <v>9.6</v>
      </c>
      <c r="T136">
        <v>36.6</v>
      </c>
      <c r="U136">
        <v>328239523</v>
      </c>
      <c r="V136">
        <f t="shared" ca="1" si="6"/>
        <v>62.245037645448321</v>
      </c>
      <c r="W136" s="3">
        <f t="shared" si="7"/>
        <v>23321</v>
      </c>
      <c r="X136" s="3">
        <f t="shared" ca="1" si="8"/>
        <v>46056</v>
      </c>
    </row>
    <row r="137" spans="1:24"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5">
        <v>21427700000000</v>
      </c>
      <c r="R137">
        <v>78.5</v>
      </c>
      <c r="S137">
        <v>9.6</v>
      </c>
      <c r="T137">
        <v>36.6</v>
      </c>
      <c r="U137">
        <v>328239523</v>
      </c>
      <c r="V137">
        <f t="shared" ca="1" si="6"/>
        <v>85.735122887623135</v>
      </c>
      <c r="W137" s="3">
        <f t="shared" si="7"/>
        <v>14741</v>
      </c>
      <c r="X137" s="3">
        <f t="shared" ca="1" si="8"/>
        <v>46056</v>
      </c>
    </row>
    <row r="138" spans="1:24"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5">
        <v>421142267938</v>
      </c>
      <c r="R138">
        <v>77.8</v>
      </c>
      <c r="S138">
        <v>0.1</v>
      </c>
      <c r="T138">
        <v>15.9</v>
      </c>
      <c r="U138">
        <v>9770529</v>
      </c>
      <c r="V138">
        <f t="shared" ca="1" si="6"/>
        <v>41.316248567426463</v>
      </c>
      <c r="W138" s="3">
        <f t="shared" si="7"/>
        <v>30965</v>
      </c>
      <c r="X138" s="3">
        <f t="shared" ca="1" si="8"/>
        <v>46056</v>
      </c>
    </row>
    <row r="139" spans="1:24"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5">
        <v>3845630030824</v>
      </c>
      <c r="R139">
        <v>80.900000000000006</v>
      </c>
      <c r="S139">
        <v>11.5</v>
      </c>
      <c r="T139">
        <v>48.8</v>
      </c>
      <c r="U139">
        <v>83132799</v>
      </c>
      <c r="V139">
        <f t="shared" ca="1" si="6"/>
        <v>75.965083202958326</v>
      </c>
      <c r="W139" s="3">
        <f t="shared" si="7"/>
        <v>18310</v>
      </c>
      <c r="X139" s="3">
        <f t="shared" ca="1" si="8"/>
        <v>46056</v>
      </c>
    </row>
    <row r="140" spans="1:24"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5">
        <v>3845630030824</v>
      </c>
      <c r="R140">
        <v>80.900000000000006</v>
      </c>
      <c r="S140">
        <v>11.5</v>
      </c>
      <c r="T140">
        <v>48.8</v>
      </c>
      <c r="U140">
        <v>83132799</v>
      </c>
      <c r="V140">
        <f t="shared" ca="1" si="6"/>
        <v>75.965083202958326</v>
      </c>
      <c r="W140" s="3">
        <f t="shared" si="7"/>
        <v>18310</v>
      </c>
      <c r="X140" s="3">
        <f t="shared" ca="1" si="8"/>
        <v>46056</v>
      </c>
    </row>
    <row r="141" spans="1:24"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5">
        <v>19910000000000</v>
      </c>
      <c r="R141">
        <v>77</v>
      </c>
      <c r="S141">
        <v>9.4</v>
      </c>
      <c r="T141">
        <v>59.2</v>
      </c>
      <c r="U141">
        <v>1397715000</v>
      </c>
      <c r="V141">
        <f t="shared" ca="1" si="6"/>
        <v>62.091043414019381</v>
      </c>
      <c r="W141" s="3">
        <f t="shared" si="7"/>
        <v>23377</v>
      </c>
      <c r="X141" s="3">
        <f t="shared" ca="1" si="8"/>
        <v>46056</v>
      </c>
    </row>
    <row r="142" spans="1:24"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5">
        <v>21427700000000</v>
      </c>
      <c r="R142">
        <v>78.5</v>
      </c>
      <c r="S142">
        <v>9.6</v>
      </c>
      <c r="T142">
        <v>36.6</v>
      </c>
      <c r="U142">
        <v>328239523</v>
      </c>
      <c r="V142">
        <f t="shared" ca="1" si="6"/>
        <v>53.538005873861316</v>
      </c>
      <c r="W142" s="3">
        <f t="shared" si="7"/>
        <v>26501</v>
      </c>
      <c r="X142" s="3">
        <f t="shared" ca="1" si="8"/>
        <v>46056</v>
      </c>
    </row>
    <row r="143" spans="1:24"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5">
        <v>21427700000000</v>
      </c>
      <c r="R143">
        <v>78.5</v>
      </c>
      <c r="S143">
        <v>9.6</v>
      </c>
      <c r="T143">
        <v>36.6</v>
      </c>
      <c r="U143">
        <v>328239523</v>
      </c>
      <c r="V143">
        <f t="shared" ca="1" si="6"/>
        <v>77.343614624848385</v>
      </c>
      <c r="W143" s="3">
        <f t="shared" si="7"/>
        <v>17806</v>
      </c>
      <c r="X143" s="3">
        <f t="shared" ca="1" si="8"/>
        <v>46056</v>
      </c>
    </row>
    <row r="144" spans="1:24"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5">
        <v>395098666122</v>
      </c>
      <c r="R144">
        <v>82.8</v>
      </c>
      <c r="S144">
        <v>23.1</v>
      </c>
      <c r="T144">
        <v>25.3</v>
      </c>
      <c r="U144">
        <v>9053300</v>
      </c>
      <c r="V144">
        <f t="shared" ca="1" si="6"/>
        <v>72.406541364510886</v>
      </c>
      <c r="W144" s="3">
        <f t="shared" si="7"/>
        <v>19610</v>
      </c>
      <c r="X144" s="3">
        <f t="shared" ca="1" si="8"/>
        <v>46056</v>
      </c>
    </row>
    <row r="145" spans="1:24"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5">
        <v>1392680589329</v>
      </c>
      <c r="R145">
        <v>82.7</v>
      </c>
      <c r="S145">
        <v>23</v>
      </c>
      <c r="T145">
        <v>47.4</v>
      </c>
      <c r="U145">
        <v>25766605</v>
      </c>
      <c r="V145">
        <f t="shared" ca="1" si="6"/>
        <v>65.814522719843083</v>
      </c>
      <c r="W145" s="3">
        <f t="shared" si="7"/>
        <v>22017</v>
      </c>
      <c r="X145" s="3">
        <f t="shared" ca="1" si="8"/>
        <v>46056</v>
      </c>
    </row>
    <row r="146" spans="1:24"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5">
        <v>703082435360</v>
      </c>
      <c r="R146">
        <v>83.6</v>
      </c>
      <c r="S146">
        <v>10.1</v>
      </c>
      <c r="T146">
        <v>28.8</v>
      </c>
      <c r="U146">
        <v>8574832</v>
      </c>
      <c r="V146">
        <f t="shared" ca="1" si="6"/>
        <v>60.756988297637449</v>
      </c>
      <c r="W146" s="3">
        <f t="shared" si="7"/>
        <v>23865</v>
      </c>
      <c r="X146" s="3">
        <f t="shared" ca="1" si="8"/>
        <v>46056</v>
      </c>
    </row>
    <row r="147" spans="1:24"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5">
        <v>2001244392042</v>
      </c>
      <c r="R147">
        <v>82.9</v>
      </c>
      <c r="S147">
        <v>24.3</v>
      </c>
      <c r="T147">
        <v>59.1</v>
      </c>
      <c r="U147">
        <v>60297396</v>
      </c>
      <c r="V147">
        <f t="shared" ca="1" si="6"/>
        <v>91.568093499764487</v>
      </c>
      <c r="W147" s="3">
        <f t="shared" si="7"/>
        <v>12611</v>
      </c>
      <c r="X147" s="3">
        <f t="shared" ca="1" si="8"/>
        <v>46056</v>
      </c>
    </row>
    <row r="148" spans="1:24"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5">
        <v>351431649241</v>
      </c>
      <c r="R148">
        <v>63.9</v>
      </c>
      <c r="S148">
        <v>27.5</v>
      </c>
      <c r="T148">
        <v>29.2</v>
      </c>
      <c r="U148">
        <v>58558270</v>
      </c>
      <c r="V148">
        <f t="shared" ca="1" si="6"/>
        <v>75.677606314891193</v>
      </c>
      <c r="W148" s="3">
        <f t="shared" si="7"/>
        <v>18415</v>
      </c>
      <c r="X148" s="3">
        <f t="shared" ca="1" si="8"/>
        <v>46056</v>
      </c>
    </row>
    <row r="149" spans="1:24"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5">
        <v>19910000000000</v>
      </c>
      <c r="R149">
        <v>77</v>
      </c>
      <c r="S149">
        <v>9.4</v>
      </c>
      <c r="T149">
        <v>59.2</v>
      </c>
      <c r="U149">
        <v>1397715000</v>
      </c>
      <c r="V149">
        <f t="shared" ca="1" si="6"/>
        <v>54.091044850415649</v>
      </c>
      <c r="W149" s="3">
        <f t="shared" si="7"/>
        <v>26299</v>
      </c>
      <c r="X149" s="3">
        <f t="shared" ca="1" si="8"/>
        <v>46056</v>
      </c>
    </row>
    <row r="150" spans="1:24"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5">
        <v>21427700000000</v>
      </c>
      <c r="R150">
        <v>78.5</v>
      </c>
      <c r="S150">
        <v>9.6</v>
      </c>
      <c r="T150">
        <v>36.6</v>
      </c>
      <c r="U150">
        <v>328239523</v>
      </c>
      <c r="V150">
        <f t="shared" ca="1" si="6"/>
        <v>86.102669404517457</v>
      </c>
      <c r="W150" s="3">
        <f t="shared" si="7"/>
        <v>14607</v>
      </c>
      <c r="X150" s="3">
        <f t="shared" ca="1" si="8"/>
        <v>46056</v>
      </c>
    </row>
    <row r="151" spans="1:24"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5">
        <v>21427700000000</v>
      </c>
      <c r="R151">
        <v>78.5</v>
      </c>
      <c r="S151">
        <v>9.6</v>
      </c>
      <c r="T151">
        <v>36.6</v>
      </c>
      <c r="U151">
        <v>328239523</v>
      </c>
      <c r="V151">
        <f t="shared" ca="1" si="6"/>
        <v>88.633791676807007</v>
      </c>
      <c r="W151" s="3">
        <f t="shared" si="7"/>
        <v>13683</v>
      </c>
      <c r="X151" s="3">
        <f t="shared" ca="1" si="8"/>
        <v>46056</v>
      </c>
    </row>
    <row r="152" spans="1:24"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5">
        <v>1258286717125</v>
      </c>
      <c r="R152">
        <v>75</v>
      </c>
      <c r="S152">
        <v>13.1</v>
      </c>
      <c r="T152">
        <v>55.1</v>
      </c>
      <c r="U152">
        <v>126014024</v>
      </c>
      <c r="V152">
        <f t="shared" ca="1" si="6"/>
        <v>70.294318959616703</v>
      </c>
      <c r="W152" s="3">
        <f t="shared" si="7"/>
        <v>20381</v>
      </c>
      <c r="X152" s="3">
        <f t="shared" ca="1" si="8"/>
        <v>46056</v>
      </c>
    </row>
    <row r="153" spans="1:24"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5">
        <v>21427700000000</v>
      </c>
      <c r="R153">
        <v>78.5</v>
      </c>
      <c r="S153">
        <v>9.6</v>
      </c>
      <c r="T153">
        <v>36.6</v>
      </c>
      <c r="U153">
        <v>328239523</v>
      </c>
      <c r="V153">
        <f t="shared" ca="1" si="6"/>
        <v>96.499636810638648</v>
      </c>
      <c r="W153" s="3">
        <f t="shared" si="7"/>
        <v>10810</v>
      </c>
      <c r="X153" s="3">
        <f t="shared" ca="1" si="8"/>
        <v>46056</v>
      </c>
    </row>
    <row r="154" spans="1:24"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5">
        <v>21427700000000</v>
      </c>
      <c r="R154">
        <v>78.5</v>
      </c>
      <c r="S154">
        <v>9.6</v>
      </c>
      <c r="T154">
        <v>36.6</v>
      </c>
      <c r="U154">
        <v>328239523</v>
      </c>
      <c r="V154">
        <f t="shared" ca="1" si="6"/>
        <v>84.666645442679311</v>
      </c>
      <c r="W154" s="3">
        <f t="shared" si="7"/>
        <v>15132</v>
      </c>
      <c r="X154" s="3">
        <f t="shared" ca="1" si="8"/>
        <v>46056</v>
      </c>
    </row>
    <row r="155" spans="1:24"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5">
        <v>1839758040766</v>
      </c>
      <c r="R155">
        <v>75.7</v>
      </c>
      <c r="S155">
        <v>14.2</v>
      </c>
      <c r="T155">
        <v>65.099999999999994</v>
      </c>
      <c r="U155">
        <v>212559417</v>
      </c>
      <c r="V155">
        <f t="shared" ca="1" si="6"/>
        <v>76.091025458682978</v>
      </c>
      <c r="W155" s="3">
        <f t="shared" si="7"/>
        <v>18264</v>
      </c>
      <c r="X155" s="3">
        <f t="shared" ca="1" si="8"/>
        <v>46056</v>
      </c>
    </row>
    <row r="156" spans="1:24"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5">
        <v>1699876578871</v>
      </c>
      <c r="R156">
        <v>72.7</v>
      </c>
      <c r="S156">
        <v>11.4</v>
      </c>
      <c r="T156">
        <v>46.2</v>
      </c>
      <c r="U156">
        <v>144373535</v>
      </c>
      <c r="V156">
        <f t="shared" ca="1" si="6"/>
        <v>59.899371633752246</v>
      </c>
      <c r="W156" s="3">
        <f t="shared" si="7"/>
        <v>24178</v>
      </c>
      <c r="X156" s="3">
        <f t="shared" ca="1" si="8"/>
        <v>46056</v>
      </c>
    </row>
    <row r="157" spans="1:24"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5">
        <v>19910000000000</v>
      </c>
      <c r="R157">
        <v>77</v>
      </c>
      <c r="S157">
        <v>9.4</v>
      </c>
      <c r="T157">
        <v>59.2</v>
      </c>
      <c r="U157">
        <v>1397715000</v>
      </c>
      <c r="V157">
        <f t="shared" ca="1" si="6"/>
        <v>42.091048007131036</v>
      </c>
      <c r="W157" s="3">
        <f t="shared" si="7"/>
        <v>30682</v>
      </c>
      <c r="X157" s="3">
        <f t="shared" ca="1" si="8"/>
        <v>46056</v>
      </c>
    </row>
    <row r="158" spans="1:24"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5">
        <v>421142267938</v>
      </c>
      <c r="R158">
        <v>77.8</v>
      </c>
      <c r="S158">
        <v>0.1</v>
      </c>
      <c r="T158">
        <v>15.9</v>
      </c>
      <c r="U158">
        <v>9770529</v>
      </c>
      <c r="V158">
        <f t="shared" ca="1" si="6"/>
        <v>48.401051363487021</v>
      </c>
      <c r="W158" s="3">
        <f t="shared" si="7"/>
        <v>28378</v>
      </c>
      <c r="X158" s="3">
        <f t="shared" ca="1" si="8"/>
        <v>46056</v>
      </c>
    </row>
    <row r="159" spans="1:24"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5">
        <v>21427700000000</v>
      </c>
      <c r="R159">
        <v>78.5</v>
      </c>
      <c r="S159">
        <v>9.6</v>
      </c>
      <c r="T159">
        <v>36.6</v>
      </c>
      <c r="U159">
        <v>328239523</v>
      </c>
      <c r="V159">
        <f t="shared" ca="1" si="6"/>
        <v>73.179345842155215</v>
      </c>
      <c r="W159" s="3">
        <f t="shared" si="7"/>
        <v>19327</v>
      </c>
      <c r="X159" s="3">
        <f t="shared" ca="1" si="8"/>
        <v>46056</v>
      </c>
    </row>
    <row r="160" spans="1:24"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5">
        <v>1392680589329</v>
      </c>
      <c r="R160">
        <v>82.7</v>
      </c>
      <c r="S160">
        <v>23</v>
      </c>
      <c r="T160">
        <v>47.4</v>
      </c>
      <c r="U160">
        <v>25766605</v>
      </c>
      <c r="V160">
        <f t="shared" ca="1" si="6"/>
        <v>46.214921286789867</v>
      </c>
      <c r="W160" s="3">
        <f t="shared" si="7"/>
        <v>29176</v>
      </c>
      <c r="X160" s="3">
        <f t="shared" ca="1" si="8"/>
        <v>46056</v>
      </c>
    </row>
    <row r="161" spans="1:24"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5">
        <v>21427700000000</v>
      </c>
      <c r="R161">
        <v>78.5</v>
      </c>
      <c r="S161">
        <v>9.6</v>
      </c>
      <c r="T161">
        <v>36.6</v>
      </c>
      <c r="U161">
        <v>328239523</v>
      </c>
      <c r="V161">
        <f t="shared" ca="1" si="6"/>
        <v>63.461311654942925</v>
      </c>
      <c r="W161" s="3">
        <f t="shared" si="7"/>
        <v>22877</v>
      </c>
      <c r="X161" s="3">
        <f t="shared" ca="1" si="8"/>
        <v>46056</v>
      </c>
    </row>
    <row r="162" spans="1:24"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5">
        <v>21427700000000</v>
      </c>
      <c r="R162">
        <v>78.5</v>
      </c>
      <c r="S162">
        <v>9.6</v>
      </c>
      <c r="T162">
        <v>36.6</v>
      </c>
      <c r="U162">
        <v>328239523</v>
      </c>
      <c r="V162">
        <f t="shared" ca="1" si="6"/>
        <v>85.368253768448881</v>
      </c>
      <c r="W162" s="3">
        <f t="shared" si="7"/>
        <v>14875</v>
      </c>
      <c r="X162" s="3">
        <f t="shared" ca="1" si="8"/>
        <v>46056</v>
      </c>
    </row>
    <row r="163" spans="1:24"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5">
        <v>21427700000000</v>
      </c>
      <c r="R163">
        <v>78.5</v>
      </c>
      <c r="S163">
        <v>9.6</v>
      </c>
      <c r="T163">
        <v>36.6</v>
      </c>
      <c r="U163">
        <v>328239523</v>
      </c>
      <c r="V163">
        <f t="shared" ca="1" si="6"/>
        <v>66.918548939082825</v>
      </c>
      <c r="W163" s="3">
        <f t="shared" si="7"/>
        <v>21614</v>
      </c>
      <c r="X163" s="3">
        <f t="shared" ca="1" si="8"/>
        <v>46056</v>
      </c>
    </row>
    <row r="164" spans="1:24"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5">
        <v>1699876578871</v>
      </c>
      <c r="R164">
        <v>72.7</v>
      </c>
      <c r="S164">
        <v>11.4</v>
      </c>
      <c r="T164">
        <v>46.2</v>
      </c>
      <c r="U164">
        <v>144373535</v>
      </c>
      <c r="V164">
        <f t="shared" ca="1" si="6"/>
        <v>77.308022872985617</v>
      </c>
      <c r="W164" s="3">
        <f t="shared" si="7"/>
        <v>17819</v>
      </c>
      <c r="X164" s="3">
        <f t="shared" ca="1" si="8"/>
        <v>46056</v>
      </c>
    </row>
    <row r="165" spans="1:24"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5">
        <v>372062527489</v>
      </c>
      <c r="R165">
        <v>83.1</v>
      </c>
      <c r="S165">
        <v>13.1</v>
      </c>
      <c r="T165">
        <v>21</v>
      </c>
      <c r="U165">
        <v>5703569</v>
      </c>
      <c r="V165">
        <f t="shared" ca="1" si="6"/>
        <v>43.880201995619366</v>
      </c>
      <c r="W165" s="3">
        <f t="shared" si="7"/>
        <v>30029</v>
      </c>
      <c r="X165" s="3">
        <f t="shared" ca="1" si="8"/>
        <v>46056</v>
      </c>
    </row>
    <row r="166" spans="1:24"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5">
        <v>3845630030824</v>
      </c>
      <c r="R166">
        <v>80.900000000000006</v>
      </c>
      <c r="S166">
        <v>11.5</v>
      </c>
      <c r="T166">
        <v>48.8</v>
      </c>
      <c r="U166">
        <v>83132799</v>
      </c>
      <c r="V166">
        <f t="shared" ca="1" si="6"/>
        <v>61.291599669723176</v>
      </c>
      <c r="W166" s="3">
        <f t="shared" si="7"/>
        <v>23669</v>
      </c>
      <c r="X166" s="3">
        <f t="shared" ca="1" si="8"/>
        <v>46056</v>
      </c>
    </row>
    <row r="167" spans="1:24"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5">
        <v>21427700000000</v>
      </c>
      <c r="R167">
        <v>78.5</v>
      </c>
      <c r="S167">
        <v>9.6</v>
      </c>
      <c r="T167">
        <v>36.6</v>
      </c>
      <c r="U167">
        <v>328239523</v>
      </c>
      <c r="V167">
        <f t="shared" ca="1" si="6"/>
        <v>76.986977429885229</v>
      </c>
      <c r="W167" s="3">
        <f t="shared" si="7"/>
        <v>17937</v>
      </c>
      <c r="X167" s="3">
        <f t="shared" ca="1" si="8"/>
        <v>46056</v>
      </c>
    </row>
    <row r="168" spans="1:24"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5">
        <v>1392680589329</v>
      </c>
      <c r="R168">
        <v>82.7</v>
      </c>
      <c r="S168">
        <v>23</v>
      </c>
      <c r="T168">
        <v>47.4</v>
      </c>
      <c r="U168">
        <v>25766605</v>
      </c>
      <c r="V168">
        <f t="shared" ca="1" si="6"/>
        <v>46.13278576317591</v>
      </c>
      <c r="W168" s="3">
        <f t="shared" si="7"/>
        <v>29206</v>
      </c>
      <c r="X168" s="3">
        <f t="shared" ca="1" si="8"/>
        <v>46056</v>
      </c>
    </row>
    <row r="169" spans="1:24"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5">
        <v>364701517788</v>
      </c>
      <c r="R169">
        <v>76</v>
      </c>
      <c r="S169">
        <v>12</v>
      </c>
      <c r="T169">
        <v>38.700000000000003</v>
      </c>
      <c r="U169">
        <v>32447385</v>
      </c>
      <c r="V169">
        <f t="shared" ca="1" si="6"/>
        <v>84.480468625640697</v>
      </c>
      <c r="W169" s="3">
        <f t="shared" si="7"/>
        <v>15200</v>
      </c>
      <c r="X169" s="3">
        <f t="shared" ca="1" si="8"/>
        <v>46056</v>
      </c>
    </row>
    <row r="170" spans="1:24"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5">
        <v>19910000000000</v>
      </c>
      <c r="R170">
        <v>77</v>
      </c>
      <c r="S170">
        <v>9.4</v>
      </c>
      <c r="T170">
        <v>59.2</v>
      </c>
      <c r="U170">
        <v>1397715000</v>
      </c>
      <c r="V170">
        <f t="shared" ca="1" si="6"/>
        <v>62.091043414019381</v>
      </c>
      <c r="W170" s="3">
        <f t="shared" si="7"/>
        <v>23377</v>
      </c>
      <c r="X170" s="3">
        <f t="shared" ca="1" si="8"/>
        <v>46056</v>
      </c>
    </row>
    <row r="171" spans="1:24"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5">
        <v>21427700000000</v>
      </c>
      <c r="R171">
        <v>78.5</v>
      </c>
      <c r="S171">
        <v>9.6</v>
      </c>
      <c r="T171">
        <v>36.6</v>
      </c>
      <c r="U171">
        <v>328239523</v>
      </c>
      <c r="V171">
        <f t="shared" ca="1" si="6"/>
        <v>87.910327006490917</v>
      </c>
      <c r="W171" s="3">
        <f t="shared" si="7"/>
        <v>13947</v>
      </c>
      <c r="X171" s="3">
        <f t="shared" ca="1" si="8"/>
        <v>46056</v>
      </c>
    </row>
    <row r="172" spans="1:24"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5">
        <v>19910000000000</v>
      </c>
      <c r="R172">
        <v>77</v>
      </c>
      <c r="S172">
        <v>9.4</v>
      </c>
      <c r="T172">
        <v>59.2</v>
      </c>
      <c r="U172">
        <v>1397715000</v>
      </c>
      <c r="V172">
        <f t="shared" ca="1" si="6"/>
        <v>77.6748916998787</v>
      </c>
      <c r="W172" s="3">
        <f t="shared" si="7"/>
        <v>17685</v>
      </c>
      <c r="X172" s="3">
        <f t="shared" ca="1" si="8"/>
        <v>46056</v>
      </c>
    </row>
    <row r="173" spans="1:24"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5">
        <v>421142267938</v>
      </c>
      <c r="R173">
        <v>77.8</v>
      </c>
      <c r="S173">
        <v>0.1</v>
      </c>
      <c r="T173">
        <v>15.9</v>
      </c>
      <c r="U173">
        <v>9770529</v>
      </c>
      <c r="V173">
        <f t="shared" ca="1" si="6"/>
        <v>77.066376496191523</v>
      </c>
      <c r="W173" s="3">
        <f t="shared" si="7"/>
        <v>17908</v>
      </c>
      <c r="X173" s="3">
        <f t="shared" ca="1" si="8"/>
        <v>46056</v>
      </c>
    </row>
    <row r="174" spans="1:24"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5">
        <v>703082435360</v>
      </c>
      <c r="R174">
        <v>83.6</v>
      </c>
      <c r="S174">
        <v>10.1</v>
      </c>
      <c r="T174">
        <v>28.8</v>
      </c>
      <c r="U174">
        <v>8574832</v>
      </c>
      <c r="V174">
        <f t="shared" ca="1" si="6"/>
        <v>83.014373716632448</v>
      </c>
      <c r="W174" s="3">
        <f t="shared" si="7"/>
        <v>15735</v>
      </c>
      <c r="X174" s="3">
        <f t="shared" ca="1" si="8"/>
        <v>46056</v>
      </c>
    </row>
    <row r="175" spans="1:24"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5">
        <v>2715518274227</v>
      </c>
      <c r="R175">
        <v>82.5</v>
      </c>
      <c r="S175">
        <v>24.2</v>
      </c>
      <c r="T175">
        <v>60.7</v>
      </c>
      <c r="U175">
        <v>67059887</v>
      </c>
      <c r="V175">
        <f t="shared" ca="1" si="6"/>
        <v>54.48596851471595</v>
      </c>
      <c r="W175" s="3">
        <f t="shared" si="7"/>
        <v>26155</v>
      </c>
      <c r="X175" s="3">
        <f t="shared" ca="1" si="8"/>
        <v>46056</v>
      </c>
    </row>
    <row r="176" spans="1:24"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5">
        <v>2715518274227</v>
      </c>
      <c r="R176">
        <v>82.5</v>
      </c>
      <c r="S176">
        <v>24.2</v>
      </c>
      <c r="T176">
        <v>60.7</v>
      </c>
      <c r="U176">
        <v>67059887</v>
      </c>
      <c r="V176">
        <f t="shared" ca="1" si="6"/>
        <v>55.924011720063405</v>
      </c>
      <c r="W176" s="3">
        <f t="shared" si="7"/>
        <v>25630</v>
      </c>
      <c r="X176" s="3">
        <f t="shared" ca="1" si="8"/>
        <v>46056</v>
      </c>
    </row>
    <row r="177" spans="1:24"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5">
        <v>2715518274227</v>
      </c>
      <c r="R177">
        <v>82.5</v>
      </c>
      <c r="S177">
        <v>24.2</v>
      </c>
      <c r="T177">
        <v>60.7</v>
      </c>
      <c r="U177">
        <v>67059887</v>
      </c>
      <c r="V177">
        <f t="shared" ca="1" si="6"/>
        <v>58.006171693735503</v>
      </c>
      <c r="W177" s="3">
        <f t="shared" si="7"/>
        <v>24869</v>
      </c>
      <c r="X177" s="3">
        <f t="shared" ca="1" si="8"/>
        <v>46056</v>
      </c>
    </row>
    <row r="178" spans="1:24"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5">
        <v>530832908738</v>
      </c>
      <c r="R178">
        <v>82.5</v>
      </c>
      <c r="S178">
        <v>27.9</v>
      </c>
      <c r="T178">
        <v>49.1</v>
      </c>
      <c r="U178">
        <v>10285453</v>
      </c>
      <c r="V178">
        <f t="shared" ca="1" si="6"/>
        <v>78.724161533196437</v>
      </c>
      <c r="W178" s="3">
        <f t="shared" si="7"/>
        <v>17302</v>
      </c>
      <c r="X178" s="3">
        <f t="shared" ca="1" si="8"/>
        <v>46056</v>
      </c>
    </row>
    <row r="179" spans="1:24"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5">
        <v>1699876578871</v>
      </c>
      <c r="R179">
        <v>72.7</v>
      </c>
      <c r="S179">
        <v>11.4</v>
      </c>
      <c r="T179">
        <v>46.2</v>
      </c>
      <c r="U179">
        <v>144373535</v>
      </c>
      <c r="V179">
        <f t="shared" ca="1" si="6"/>
        <v>65.863803530565548</v>
      </c>
      <c r="W179" s="3">
        <f t="shared" si="7"/>
        <v>21999</v>
      </c>
      <c r="X179" s="3">
        <f t="shared" ca="1" si="8"/>
        <v>46056</v>
      </c>
    </row>
    <row r="180" spans="1:24"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5">
        <v>2029000000000</v>
      </c>
      <c r="R180">
        <v>82.6</v>
      </c>
      <c r="S180">
        <v>15.6</v>
      </c>
      <c r="T180">
        <v>33.200000000000003</v>
      </c>
      <c r="U180">
        <v>51709098</v>
      </c>
      <c r="V180">
        <f t="shared" ca="1" si="6"/>
        <v>62.343600273785079</v>
      </c>
      <c r="W180" s="3">
        <f t="shared" si="7"/>
        <v>23285</v>
      </c>
      <c r="X180" s="3">
        <f t="shared" ca="1" si="8"/>
        <v>46056</v>
      </c>
    </row>
    <row r="181" spans="1:24"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5">
        <v>19910000000000</v>
      </c>
      <c r="R181">
        <v>77</v>
      </c>
      <c r="S181">
        <v>9.4</v>
      </c>
      <c r="T181">
        <v>59.2</v>
      </c>
      <c r="U181">
        <v>1397715000</v>
      </c>
      <c r="V181">
        <f t="shared" ca="1" si="6"/>
        <v>56.135479607250758</v>
      </c>
      <c r="W181" s="3">
        <f t="shared" si="7"/>
        <v>25553</v>
      </c>
      <c r="X181" s="3">
        <f t="shared" ca="1" si="8"/>
        <v>46056</v>
      </c>
    </row>
    <row r="182" spans="1:24"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5">
        <v>3845630030824</v>
      </c>
      <c r="R182">
        <v>80.900000000000006</v>
      </c>
      <c r="S182">
        <v>11.5</v>
      </c>
      <c r="T182">
        <v>48.8</v>
      </c>
      <c r="U182">
        <v>83132799</v>
      </c>
      <c r="V182">
        <f t="shared" ca="1" si="6"/>
        <v>79.472266351191479</v>
      </c>
      <c r="W182" s="3">
        <f t="shared" si="7"/>
        <v>17029</v>
      </c>
      <c r="X182" s="3">
        <f t="shared" ca="1" si="8"/>
        <v>46056</v>
      </c>
    </row>
    <row r="183" spans="1:24"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5">
        <v>19910000000000</v>
      </c>
      <c r="R183">
        <v>77</v>
      </c>
      <c r="S183">
        <v>9.4</v>
      </c>
      <c r="T183">
        <v>59.2</v>
      </c>
      <c r="U183">
        <v>1397715000</v>
      </c>
      <c r="V183">
        <f t="shared" ca="1" si="6"/>
        <v>67.425720180938029</v>
      </c>
      <c r="W183" s="3">
        <f t="shared" si="7"/>
        <v>21429</v>
      </c>
      <c r="X183" s="3">
        <f t="shared" ca="1" si="8"/>
        <v>46056</v>
      </c>
    </row>
    <row r="184" spans="1:24"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5">
        <v>21427700000000</v>
      </c>
      <c r="R184">
        <v>78.5</v>
      </c>
      <c r="S184">
        <v>9.6</v>
      </c>
      <c r="T184">
        <v>36.6</v>
      </c>
      <c r="U184">
        <v>328239523</v>
      </c>
      <c r="V184">
        <f t="shared" ca="1" si="6"/>
        <v>73.527049718916558</v>
      </c>
      <c r="W184" s="3">
        <f t="shared" si="7"/>
        <v>19200</v>
      </c>
      <c r="X184" s="3">
        <f t="shared" ca="1" si="8"/>
        <v>46056</v>
      </c>
    </row>
    <row r="185" spans="1:24"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5">
        <v>19910000000000</v>
      </c>
      <c r="R185">
        <v>77</v>
      </c>
      <c r="S185">
        <v>9.4</v>
      </c>
      <c r="T185">
        <v>59.2</v>
      </c>
      <c r="U185">
        <v>1397715000</v>
      </c>
      <c r="V185">
        <f t="shared" ca="1" si="6"/>
        <v>73.423012338468283</v>
      </c>
      <c r="W185" s="3">
        <f t="shared" si="7"/>
        <v>19238</v>
      </c>
      <c r="X185" s="3">
        <f t="shared" ca="1" si="8"/>
        <v>46056</v>
      </c>
    </row>
    <row r="186" spans="1:24"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5">
        <v>19910000000000</v>
      </c>
      <c r="R186">
        <v>77</v>
      </c>
      <c r="S186">
        <v>9.4</v>
      </c>
      <c r="T186">
        <v>59.2</v>
      </c>
      <c r="U186">
        <v>1397715000</v>
      </c>
      <c r="V186">
        <f t="shared" ca="1" si="6"/>
        <v>69.926772837697143</v>
      </c>
      <c r="W186" s="3">
        <f t="shared" si="7"/>
        <v>20515</v>
      </c>
      <c r="X186" s="3">
        <f t="shared" ca="1" si="8"/>
        <v>46056</v>
      </c>
    </row>
    <row r="187" spans="1:24"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5">
        <v>21427700000000</v>
      </c>
      <c r="R187">
        <v>78.5</v>
      </c>
      <c r="S187">
        <v>9.6</v>
      </c>
      <c r="T187">
        <v>36.6</v>
      </c>
      <c r="U187">
        <v>328239523</v>
      </c>
      <c r="V187">
        <f t="shared" ca="1" si="6"/>
        <v>61.518838816218327</v>
      </c>
      <c r="W187" s="3">
        <f t="shared" si="7"/>
        <v>23586</v>
      </c>
      <c r="X187" s="3">
        <f t="shared" ca="1" si="8"/>
        <v>46056</v>
      </c>
    </row>
    <row r="188" spans="1:24"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5">
        <v>21427700000000</v>
      </c>
      <c r="R188">
        <v>78.5</v>
      </c>
      <c r="S188">
        <v>9.6</v>
      </c>
      <c r="T188">
        <v>36.6</v>
      </c>
      <c r="U188">
        <v>328239523</v>
      </c>
      <c r="V188">
        <f t="shared" ca="1" si="6"/>
        <v>65.507886564236685</v>
      </c>
      <c r="W188" s="3">
        <f t="shared" si="7"/>
        <v>22129</v>
      </c>
      <c r="X188" s="3">
        <f t="shared" ca="1" si="8"/>
        <v>46056</v>
      </c>
    </row>
    <row r="189" spans="1:24"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5">
        <v>21427700000000</v>
      </c>
      <c r="R189">
        <v>78.5</v>
      </c>
      <c r="S189">
        <v>9.6</v>
      </c>
      <c r="T189">
        <v>36.6</v>
      </c>
      <c r="U189">
        <v>328239523</v>
      </c>
      <c r="V189">
        <f t="shared" ca="1" si="6"/>
        <v>67.022587268993846</v>
      </c>
      <c r="W189" s="3">
        <f t="shared" si="7"/>
        <v>21576</v>
      </c>
      <c r="X189" s="3">
        <f t="shared" ca="1" si="8"/>
        <v>46056</v>
      </c>
    </row>
    <row r="190" spans="1:24"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5">
        <v>21427700000000</v>
      </c>
      <c r="R190">
        <v>78.5</v>
      </c>
      <c r="S190">
        <v>9.6</v>
      </c>
      <c r="T190">
        <v>36.6</v>
      </c>
      <c r="U190">
        <v>328239523</v>
      </c>
      <c r="V190">
        <f t="shared" ca="1" si="6"/>
        <v>69.13554158793815</v>
      </c>
      <c r="W190" s="3">
        <f t="shared" si="7"/>
        <v>20804</v>
      </c>
      <c r="X190" s="3">
        <f t="shared" ca="1" si="8"/>
        <v>46056</v>
      </c>
    </row>
    <row r="191" spans="1:24"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5">
        <v>2715518274227</v>
      </c>
      <c r="R191">
        <v>82.5</v>
      </c>
      <c r="S191">
        <v>24.2</v>
      </c>
      <c r="T191">
        <v>60.7</v>
      </c>
      <c r="U191">
        <v>67059887</v>
      </c>
      <c r="V191">
        <f t="shared" ca="1" si="6"/>
        <v>73.841899686062646</v>
      </c>
      <c r="W191" s="3">
        <f t="shared" si="7"/>
        <v>19085</v>
      </c>
      <c r="X191" s="3">
        <f t="shared" ca="1" si="8"/>
        <v>46056</v>
      </c>
    </row>
    <row r="192" spans="1:24"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5">
        <v>1736425629520</v>
      </c>
      <c r="R192">
        <v>81.900000000000006</v>
      </c>
      <c r="S192">
        <v>12.8</v>
      </c>
      <c r="T192">
        <v>24.5</v>
      </c>
      <c r="U192">
        <v>36991981</v>
      </c>
      <c r="V192">
        <f t="shared" ca="1" si="6"/>
        <v>97.340873893805309</v>
      </c>
      <c r="W192" s="3">
        <f t="shared" si="7"/>
        <v>10502</v>
      </c>
      <c r="X192" s="3">
        <f t="shared" ca="1" si="8"/>
        <v>46056</v>
      </c>
    </row>
    <row r="193" spans="1:24"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5">
        <v>703082435360</v>
      </c>
      <c r="R193">
        <v>83.6</v>
      </c>
      <c r="S193">
        <v>10.1</v>
      </c>
      <c r="T193">
        <v>28.8</v>
      </c>
      <c r="U193">
        <v>8574832</v>
      </c>
      <c r="V193">
        <f t="shared" ca="1" si="6"/>
        <v>60.368204901744313</v>
      </c>
      <c r="W193" s="3">
        <f t="shared" si="7"/>
        <v>24007</v>
      </c>
      <c r="X193" s="3">
        <f t="shared" ca="1" si="8"/>
        <v>46056</v>
      </c>
    </row>
    <row r="194" spans="1:24"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5">
        <v>19910000000000</v>
      </c>
      <c r="R194">
        <v>77</v>
      </c>
      <c r="S194">
        <v>9.4</v>
      </c>
      <c r="T194">
        <v>59.2</v>
      </c>
      <c r="U194">
        <v>1397715000</v>
      </c>
      <c r="V194">
        <f t="shared" ref="V194:V257" ca="1" si="9">YEARFRAC(W194,X194,1)</f>
        <v>46.959616700889804</v>
      </c>
      <c r="W194" s="3">
        <f t="shared" si="7"/>
        <v>28904</v>
      </c>
      <c r="X194" s="3">
        <f t="shared" ca="1" si="8"/>
        <v>46056</v>
      </c>
    </row>
    <row r="195" spans="1:24"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5">
        <v>21427700000000</v>
      </c>
      <c r="R195">
        <v>78.5</v>
      </c>
      <c r="S195">
        <v>9.6</v>
      </c>
      <c r="T195">
        <v>36.6</v>
      </c>
      <c r="U195">
        <v>328239523</v>
      </c>
      <c r="V195">
        <f t="shared" ca="1" si="9"/>
        <v>44.433902743884289</v>
      </c>
      <c r="W195" s="3">
        <f t="shared" ref="W195:W258" si="10">DATE(M195,N195,O195)</f>
        <v>29827</v>
      </c>
      <c r="X195" s="3">
        <f t="shared" ref="X195:X258" ca="1" si="11">TODAY()</f>
        <v>46056</v>
      </c>
    </row>
    <row r="196" spans="1:24"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5">
        <v>2827113184696</v>
      </c>
      <c r="R196">
        <v>81.3</v>
      </c>
      <c r="S196">
        <v>25.5</v>
      </c>
      <c r="T196">
        <v>30.6</v>
      </c>
      <c r="U196">
        <v>66834405</v>
      </c>
      <c r="V196">
        <f t="shared" ca="1" si="9"/>
        <v>78.759753593429153</v>
      </c>
      <c r="W196" s="3">
        <f t="shared" si="10"/>
        <v>17289</v>
      </c>
      <c r="X196" s="3">
        <f t="shared" ca="1" si="11"/>
        <v>46056</v>
      </c>
    </row>
    <row r="197" spans="1:24"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5">
        <v>1699876578871</v>
      </c>
      <c r="R197">
        <v>72.7</v>
      </c>
      <c r="S197">
        <v>11.4</v>
      </c>
      <c r="T197">
        <v>46.2</v>
      </c>
      <c r="U197">
        <v>144373535</v>
      </c>
      <c r="V197">
        <f t="shared" ca="1" si="9"/>
        <v>59.280610412926393</v>
      </c>
      <c r="W197" s="3">
        <f t="shared" si="10"/>
        <v>24404</v>
      </c>
      <c r="X197" s="3">
        <f t="shared" ca="1" si="11"/>
        <v>46056</v>
      </c>
    </row>
    <row r="198" spans="1:24"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5">
        <v>530832908738</v>
      </c>
      <c r="R198">
        <v>82.5</v>
      </c>
      <c r="S198">
        <v>27.9</v>
      </c>
      <c r="T198">
        <v>49.1</v>
      </c>
      <c r="U198">
        <v>10285453</v>
      </c>
      <c r="V198">
        <f t="shared" ca="1" si="9"/>
        <v>82.412046543463376</v>
      </c>
      <c r="W198" s="3">
        <f t="shared" si="10"/>
        <v>15955</v>
      </c>
      <c r="X198" s="3">
        <f t="shared" ca="1" si="11"/>
        <v>46056</v>
      </c>
    </row>
    <row r="199" spans="1:24"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5">
        <v>246489245495</v>
      </c>
      <c r="R199">
        <v>79</v>
      </c>
      <c r="S199">
        <v>14.9</v>
      </c>
      <c r="T199">
        <v>46.1</v>
      </c>
      <c r="U199">
        <v>10669709</v>
      </c>
      <c r="V199">
        <f t="shared" ca="1" si="9"/>
        <v>50.573579739904176</v>
      </c>
      <c r="W199" s="3">
        <f t="shared" si="10"/>
        <v>27584</v>
      </c>
      <c r="X199" s="3">
        <f t="shared" ca="1" si="11"/>
        <v>46056</v>
      </c>
    </row>
    <row r="200" spans="1:24"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5">
        <v>21427700000000</v>
      </c>
      <c r="R200">
        <v>78.5</v>
      </c>
      <c r="S200">
        <v>9.6</v>
      </c>
      <c r="T200">
        <v>36.6</v>
      </c>
      <c r="U200">
        <v>328239523</v>
      </c>
      <c r="V200">
        <f t="shared" ca="1" si="9"/>
        <v>84.913055935818662</v>
      </c>
      <c r="W200" s="3">
        <f t="shared" si="10"/>
        <v>15042</v>
      </c>
      <c r="X200" s="3">
        <f t="shared" ca="1" si="11"/>
        <v>46056</v>
      </c>
    </row>
    <row r="201" spans="1:24"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5">
        <v>2611000000000</v>
      </c>
      <c r="R201">
        <v>69.400000000000006</v>
      </c>
      <c r="S201">
        <v>11.2</v>
      </c>
      <c r="T201">
        <v>49.7</v>
      </c>
      <c r="U201">
        <v>1366417754</v>
      </c>
      <c r="V201">
        <f t="shared" ca="1" si="9"/>
        <v>80.532487479131888</v>
      </c>
      <c r="W201" s="3">
        <f t="shared" si="10"/>
        <v>16642</v>
      </c>
      <c r="X201" s="3">
        <f t="shared" ca="1" si="11"/>
        <v>46056</v>
      </c>
    </row>
    <row r="202" spans="1:24"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5">
        <v>21427700000000</v>
      </c>
      <c r="R202">
        <v>78.5</v>
      </c>
      <c r="S202">
        <v>9.6</v>
      </c>
      <c r="T202">
        <v>36.6</v>
      </c>
      <c r="U202">
        <v>328239523</v>
      </c>
      <c r="V202">
        <f t="shared" ca="1" si="9"/>
        <v>88.518800194694563</v>
      </c>
      <c r="W202" s="3">
        <f t="shared" si="10"/>
        <v>13725</v>
      </c>
      <c r="X202" s="3">
        <f t="shared" ca="1" si="11"/>
        <v>46056</v>
      </c>
    </row>
    <row r="203" spans="1:24"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5">
        <v>21427700000000</v>
      </c>
      <c r="R203">
        <v>78.5</v>
      </c>
      <c r="S203">
        <v>9.6</v>
      </c>
      <c r="T203">
        <v>36.6</v>
      </c>
      <c r="U203">
        <v>328239523</v>
      </c>
      <c r="V203">
        <f t="shared" ca="1" si="9"/>
        <v>66.091042824452444</v>
      </c>
      <c r="W203" s="3">
        <f t="shared" si="10"/>
        <v>21916</v>
      </c>
      <c r="X203" s="3">
        <f t="shared" ca="1" si="11"/>
        <v>46056</v>
      </c>
    </row>
    <row r="204" spans="1:24"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5">
        <v>21427700000000</v>
      </c>
      <c r="R204">
        <v>78.5</v>
      </c>
      <c r="S204">
        <v>9.6</v>
      </c>
      <c r="T204">
        <v>36.6</v>
      </c>
      <c r="U204">
        <v>328239523</v>
      </c>
      <c r="V204">
        <f t="shared" ca="1" si="9"/>
        <v>74.852840520191648</v>
      </c>
      <c r="W204" s="3">
        <f t="shared" si="10"/>
        <v>18716</v>
      </c>
      <c r="X204" s="3">
        <f t="shared" ca="1" si="11"/>
        <v>46056</v>
      </c>
    </row>
    <row r="205" spans="1:24"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5">
        <v>703082435360</v>
      </c>
      <c r="R205">
        <v>83.6</v>
      </c>
      <c r="S205">
        <v>10.1</v>
      </c>
      <c r="T205">
        <v>28.8</v>
      </c>
      <c r="U205">
        <v>8574832</v>
      </c>
      <c r="V205">
        <f t="shared" ca="1" si="9"/>
        <v>69.074588336527555</v>
      </c>
      <c r="W205" s="3">
        <f t="shared" si="10"/>
        <v>20827</v>
      </c>
      <c r="X205" s="3">
        <f t="shared" ca="1" si="11"/>
        <v>46056</v>
      </c>
    </row>
    <row r="206" spans="1:24"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5">
        <v>3845630030824</v>
      </c>
      <c r="R206">
        <v>80.900000000000006</v>
      </c>
      <c r="S206">
        <v>11.5</v>
      </c>
      <c r="T206">
        <v>48.8</v>
      </c>
      <c r="U206">
        <v>83132799</v>
      </c>
      <c r="V206">
        <f t="shared" ca="1" si="9"/>
        <v>58.579055441478438</v>
      </c>
      <c r="W206" s="3">
        <f t="shared" si="10"/>
        <v>24660</v>
      </c>
      <c r="X206" s="3">
        <f t="shared" ca="1" si="11"/>
        <v>46056</v>
      </c>
    </row>
    <row r="207" spans="1:24"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5">
        <v>1736425629520</v>
      </c>
      <c r="R207">
        <v>81.900000000000006</v>
      </c>
      <c r="S207">
        <v>12.8</v>
      </c>
      <c r="T207">
        <v>24.5</v>
      </c>
      <c r="U207">
        <v>36991981</v>
      </c>
      <c r="V207">
        <f t="shared" ca="1" si="9"/>
        <v>75.904849950220452</v>
      </c>
      <c r="W207" s="3">
        <f t="shared" si="10"/>
        <v>18332</v>
      </c>
      <c r="X207" s="3">
        <f t="shared" ca="1" si="11"/>
        <v>46056</v>
      </c>
    </row>
    <row r="208" spans="1:24"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5">
        <v>19910000000000</v>
      </c>
      <c r="R208">
        <v>77</v>
      </c>
      <c r="S208">
        <v>9.4</v>
      </c>
      <c r="T208">
        <v>59.2</v>
      </c>
      <c r="U208">
        <v>1397715000</v>
      </c>
      <c r="V208">
        <f t="shared" ca="1" si="9"/>
        <v>59.943177737881513</v>
      </c>
      <c r="W208" s="3">
        <f t="shared" si="10"/>
        <v>24162</v>
      </c>
      <c r="X208" s="3">
        <f t="shared" ca="1" si="11"/>
        <v>46056</v>
      </c>
    </row>
    <row r="209" spans="1:24"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5">
        <v>2827113184696</v>
      </c>
      <c r="R209">
        <v>81.3</v>
      </c>
      <c r="S209">
        <v>25.5</v>
      </c>
      <c r="T209">
        <v>30.6</v>
      </c>
      <c r="U209">
        <v>66834405</v>
      </c>
      <c r="V209">
        <f t="shared" ca="1" si="9"/>
        <v>71.091033538672136</v>
      </c>
      <c r="W209" s="3">
        <f t="shared" si="10"/>
        <v>20090</v>
      </c>
      <c r="X209" s="3">
        <f t="shared" ca="1" si="11"/>
        <v>46056</v>
      </c>
    </row>
    <row r="210" spans="1:24"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5">
        <v>2827113184696</v>
      </c>
      <c r="R210">
        <v>81.3</v>
      </c>
      <c r="S210">
        <v>25.5</v>
      </c>
      <c r="T210">
        <v>30.6</v>
      </c>
      <c r="U210">
        <v>66834405</v>
      </c>
      <c r="V210">
        <f t="shared" ca="1" si="9"/>
        <v>66.091042824452444</v>
      </c>
      <c r="W210" s="3">
        <f t="shared" si="10"/>
        <v>21916</v>
      </c>
      <c r="X210" s="3">
        <f t="shared" ca="1" si="11"/>
        <v>46056</v>
      </c>
    </row>
    <row r="211" spans="1:24"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5">
        <v>2827113184696</v>
      </c>
      <c r="R211">
        <v>81.3</v>
      </c>
      <c r="S211">
        <v>25.5</v>
      </c>
      <c r="T211">
        <v>30.6</v>
      </c>
      <c r="U211">
        <v>66834405</v>
      </c>
      <c r="V211">
        <f t="shared" ca="1" si="9"/>
        <v>73.661203183178799</v>
      </c>
      <c r="W211" s="3">
        <f t="shared" si="10"/>
        <v>19151</v>
      </c>
      <c r="X211" s="3">
        <f t="shared" ca="1" si="11"/>
        <v>46056</v>
      </c>
    </row>
    <row r="212" spans="1:24"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5">
        <v>1699876578871</v>
      </c>
      <c r="R212">
        <v>72.7</v>
      </c>
      <c r="S212">
        <v>11.4</v>
      </c>
      <c r="T212">
        <v>46.2</v>
      </c>
      <c r="U212">
        <v>144373535</v>
      </c>
      <c r="V212">
        <f t="shared" ca="1" si="9"/>
        <v>50.3025325119781</v>
      </c>
      <c r="W212" s="3">
        <f t="shared" si="10"/>
        <v>27683</v>
      </c>
      <c r="X212" s="3">
        <f t="shared" ca="1" si="11"/>
        <v>46056</v>
      </c>
    </row>
    <row r="213" spans="1:24"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5">
        <v>21427700000000</v>
      </c>
      <c r="R213">
        <v>78.5</v>
      </c>
      <c r="S213">
        <v>9.6</v>
      </c>
      <c r="T213">
        <v>36.6</v>
      </c>
      <c r="U213">
        <v>328239523</v>
      </c>
      <c r="V213">
        <f t="shared" ca="1" si="9"/>
        <v>74.600958247775495</v>
      </c>
      <c r="W213" s="3">
        <f t="shared" si="10"/>
        <v>18808</v>
      </c>
      <c r="X213" s="3">
        <f t="shared" ca="1" si="11"/>
        <v>46056</v>
      </c>
    </row>
    <row r="214" spans="1:24"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5">
        <v>19910000000000</v>
      </c>
      <c r="R214">
        <v>77</v>
      </c>
      <c r="S214">
        <v>9.4</v>
      </c>
      <c r="T214">
        <v>59.2</v>
      </c>
      <c r="U214">
        <v>1397715000</v>
      </c>
      <c r="V214">
        <f t="shared" ca="1" si="9"/>
        <v>51.904845541894822</v>
      </c>
      <c r="W214" s="3">
        <f t="shared" si="10"/>
        <v>27098</v>
      </c>
      <c r="X214" s="3">
        <f t="shared" ca="1" si="11"/>
        <v>46056</v>
      </c>
    </row>
    <row r="215" spans="1:24"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5">
        <v>21427700000000</v>
      </c>
      <c r="R215">
        <v>78.5</v>
      </c>
      <c r="S215">
        <v>9.6</v>
      </c>
      <c r="T215">
        <v>36.6</v>
      </c>
      <c r="U215">
        <v>328239523</v>
      </c>
      <c r="V215">
        <f t="shared" ca="1" si="9"/>
        <v>41.702279383675027</v>
      </c>
      <c r="W215" s="3">
        <f t="shared" si="10"/>
        <v>30824</v>
      </c>
      <c r="X215" s="3">
        <f t="shared" ca="1" si="11"/>
        <v>46056</v>
      </c>
    </row>
    <row r="216" spans="1:24"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5">
        <v>21427700000000</v>
      </c>
      <c r="R216">
        <v>78.5</v>
      </c>
      <c r="S216">
        <v>9.6</v>
      </c>
      <c r="T216">
        <v>36.6</v>
      </c>
      <c r="U216">
        <v>328239523</v>
      </c>
      <c r="V216">
        <f t="shared" ca="1" si="9"/>
        <v>58.622861054072551</v>
      </c>
      <c r="W216" s="3">
        <f t="shared" si="10"/>
        <v>24644</v>
      </c>
      <c r="X216" s="3">
        <f t="shared" ca="1" si="11"/>
        <v>46056</v>
      </c>
    </row>
    <row r="217" spans="1:24"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5">
        <v>19910000000000</v>
      </c>
      <c r="R217">
        <v>77</v>
      </c>
      <c r="S217">
        <v>9.4</v>
      </c>
      <c r="T217">
        <v>59.2</v>
      </c>
      <c r="U217">
        <v>1397715000</v>
      </c>
      <c r="V217">
        <f t="shared" ca="1" si="9"/>
        <v>67.091033538672136</v>
      </c>
      <c r="W217" s="3">
        <f t="shared" si="10"/>
        <v>21551</v>
      </c>
      <c r="X217" s="3">
        <f t="shared" ca="1" si="11"/>
        <v>46056</v>
      </c>
    </row>
    <row r="218" spans="1:24"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5">
        <v>2827113184696</v>
      </c>
      <c r="R218">
        <v>81.3</v>
      </c>
      <c r="S218">
        <v>25.5</v>
      </c>
      <c r="T218">
        <v>30.6</v>
      </c>
      <c r="U218">
        <v>66834405</v>
      </c>
      <c r="V218">
        <f t="shared" ca="1" si="9"/>
        <v>75.091033538672136</v>
      </c>
      <c r="W218" s="3">
        <f t="shared" si="10"/>
        <v>18629</v>
      </c>
      <c r="X218" s="3">
        <f t="shared" ca="1" si="11"/>
        <v>46056</v>
      </c>
    </row>
    <row r="219" spans="1:24"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5">
        <v>19910000000000</v>
      </c>
      <c r="R219">
        <v>77</v>
      </c>
      <c r="S219">
        <v>9.4</v>
      </c>
      <c r="T219">
        <v>59.2</v>
      </c>
      <c r="U219">
        <v>1397715000</v>
      </c>
      <c r="V219">
        <f t="shared" ca="1" si="9"/>
        <v>55.091033538672143</v>
      </c>
      <c r="W219" s="3">
        <f t="shared" si="10"/>
        <v>25934</v>
      </c>
      <c r="X219" s="3">
        <f t="shared" ca="1" si="11"/>
        <v>46056</v>
      </c>
    </row>
    <row r="220" spans="1:24"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5">
        <v>3845630030824</v>
      </c>
      <c r="R220">
        <v>80.900000000000006</v>
      </c>
      <c r="S220">
        <v>11.5</v>
      </c>
      <c r="T220">
        <v>48.8</v>
      </c>
      <c r="U220">
        <v>83132799</v>
      </c>
      <c r="V220">
        <f t="shared" ca="1" si="9"/>
        <v>82.814510609171805</v>
      </c>
      <c r="W220" s="3">
        <f t="shared" si="10"/>
        <v>15808</v>
      </c>
      <c r="X220" s="3">
        <f t="shared" ca="1" si="11"/>
        <v>46056</v>
      </c>
    </row>
    <row r="221" spans="1:24"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5">
        <v>21427700000000</v>
      </c>
      <c r="R221">
        <v>78.5</v>
      </c>
      <c r="S221">
        <v>9.6</v>
      </c>
      <c r="T221">
        <v>36.6</v>
      </c>
      <c r="U221">
        <v>328239523</v>
      </c>
      <c r="V221">
        <f t="shared" ca="1" si="9"/>
        <v>74.513347022587268</v>
      </c>
      <c r="W221" s="3">
        <f t="shared" si="10"/>
        <v>18840</v>
      </c>
      <c r="X221" s="3">
        <f t="shared" ca="1" si="11"/>
        <v>46056</v>
      </c>
    </row>
    <row r="222" spans="1:24"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5">
        <v>206928765544</v>
      </c>
      <c r="R222">
        <v>81.900000000000006</v>
      </c>
      <c r="S222">
        <v>29</v>
      </c>
      <c r="T222">
        <v>34.6</v>
      </c>
      <c r="U222">
        <v>4841000</v>
      </c>
      <c r="V222">
        <f t="shared" ca="1" si="9"/>
        <v>70.66392881587953</v>
      </c>
      <c r="W222" s="3">
        <f t="shared" si="10"/>
        <v>20246</v>
      </c>
      <c r="X222" s="3">
        <f t="shared" ca="1" si="11"/>
        <v>46056</v>
      </c>
    </row>
    <row r="223" spans="1:24"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5">
        <v>2611000000000</v>
      </c>
      <c r="R223">
        <v>69.400000000000006</v>
      </c>
      <c r="S223">
        <v>11.2</v>
      </c>
      <c r="T223">
        <v>49.7</v>
      </c>
      <c r="U223">
        <v>1366417754</v>
      </c>
      <c r="V223">
        <f t="shared" ca="1" si="9"/>
        <v>71.184787908337398</v>
      </c>
      <c r="W223" s="3">
        <f t="shared" si="10"/>
        <v>20056</v>
      </c>
      <c r="X223" s="3">
        <f t="shared" ca="1" si="11"/>
        <v>46056</v>
      </c>
    </row>
    <row r="224" spans="1:24"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5">
        <v>3845630030824</v>
      </c>
      <c r="R224">
        <v>80.900000000000006</v>
      </c>
      <c r="S224">
        <v>11.5</v>
      </c>
      <c r="T224">
        <v>48.8</v>
      </c>
      <c r="U224">
        <v>83132799</v>
      </c>
      <c r="V224">
        <f t="shared" ca="1" si="9"/>
        <v>82.036284470246727</v>
      </c>
      <c r="W224" s="3">
        <f t="shared" si="10"/>
        <v>16092</v>
      </c>
      <c r="X224" s="3">
        <f t="shared" ca="1" si="11"/>
        <v>46056</v>
      </c>
    </row>
    <row r="225" spans="1:24"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5">
        <v>703082435360</v>
      </c>
      <c r="R225">
        <v>83.6</v>
      </c>
      <c r="S225">
        <v>10.1</v>
      </c>
      <c r="T225">
        <v>28.8</v>
      </c>
      <c r="U225">
        <v>8574832</v>
      </c>
      <c r="V225">
        <f t="shared" ca="1" si="9"/>
        <v>78.09104141396638</v>
      </c>
      <c r="W225" s="3">
        <f t="shared" si="10"/>
        <v>17533</v>
      </c>
      <c r="X225" s="3">
        <f t="shared" ca="1" si="11"/>
        <v>46056</v>
      </c>
    </row>
    <row r="226" spans="1:24"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5">
        <v>376795508680</v>
      </c>
      <c r="R226">
        <v>71.099999999999994</v>
      </c>
      <c r="S226">
        <v>14</v>
      </c>
      <c r="T226">
        <v>43.1</v>
      </c>
      <c r="U226">
        <v>108116615</v>
      </c>
      <c r="V226">
        <f t="shared" ca="1" si="9"/>
        <v>76.143704587735627</v>
      </c>
      <c r="W226" s="3">
        <f t="shared" si="10"/>
        <v>18245</v>
      </c>
      <c r="X226" s="3">
        <f t="shared" ca="1" si="11"/>
        <v>46056</v>
      </c>
    </row>
    <row r="227" spans="1:24"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5">
        <v>21427700000000</v>
      </c>
      <c r="R227">
        <v>78.5</v>
      </c>
      <c r="S227">
        <v>9.6</v>
      </c>
      <c r="T227">
        <v>36.6</v>
      </c>
      <c r="U227">
        <v>328239523</v>
      </c>
      <c r="V227">
        <f t="shared" ca="1" si="9"/>
        <v>70.346338124572213</v>
      </c>
      <c r="W227" s="3">
        <f t="shared" si="10"/>
        <v>20362</v>
      </c>
      <c r="X227" s="3">
        <f t="shared" ca="1" si="11"/>
        <v>46056</v>
      </c>
    </row>
    <row r="228" spans="1:24"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5">
        <v>21427700000000</v>
      </c>
      <c r="R228">
        <v>78.5</v>
      </c>
      <c r="S228">
        <v>9.6</v>
      </c>
      <c r="T228">
        <v>36.6</v>
      </c>
      <c r="U228">
        <v>328239523</v>
      </c>
      <c r="V228">
        <f t="shared" ca="1" si="9"/>
        <v>50.622861054072551</v>
      </c>
      <c r="W228" s="3">
        <f t="shared" si="10"/>
        <v>27566</v>
      </c>
      <c r="X228" s="3">
        <f t="shared" ca="1" si="11"/>
        <v>46056</v>
      </c>
    </row>
    <row r="229" spans="1:24"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5">
        <v>21427700000000</v>
      </c>
      <c r="R229">
        <v>78.5</v>
      </c>
      <c r="S229">
        <v>9.6</v>
      </c>
      <c r="T229">
        <v>36.6</v>
      </c>
      <c r="U229">
        <v>328239523</v>
      </c>
      <c r="V229">
        <f t="shared" ca="1" si="9"/>
        <v>77.127326286605438</v>
      </c>
      <c r="W229" s="3">
        <f t="shared" si="10"/>
        <v>17885</v>
      </c>
      <c r="X229" s="3">
        <f t="shared" ca="1" si="11"/>
        <v>46056</v>
      </c>
    </row>
    <row r="230" spans="1:24"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5">
        <v>19910000000000</v>
      </c>
      <c r="R230">
        <v>77</v>
      </c>
      <c r="S230">
        <v>9.4</v>
      </c>
      <c r="T230">
        <v>59.2</v>
      </c>
      <c r="U230">
        <v>1397715000</v>
      </c>
      <c r="V230">
        <f t="shared" ca="1" si="9"/>
        <v>58.091044083526683</v>
      </c>
      <c r="W230" s="3">
        <f t="shared" si="10"/>
        <v>24838</v>
      </c>
      <c r="X230" s="3">
        <f t="shared" ca="1" si="11"/>
        <v>46056</v>
      </c>
    </row>
    <row r="231" spans="1:24"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5">
        <v>21427700000000</v>
      </c>
      <c r="R231">
        <v>78.5</v>
      </c>
      <c r="S231">
        <v>9.6</v>
      </c>
      <c r="T231">
        <v>36.6</v>
      </c>
      <c r="U231">
        <v>328239523</v>
      </c>
      <c r="V231">
        <f t="shared" ca="1" si="9"/>
        <v>78.182067077344286</v>
      </c>
      <c r="W231" s="3">
        <f t="shared" si="10"/>
        <v>17500</v>
      </c>
      <c r="X231" s="3">
        <f t="shared" ca="1" si="11"/>
        <v>46056</v>
      </c>
    </row>
    <row r="232" spans="1:24"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5">
        <v>351431649241</v>
      </c>
      <c r="R232">
        <v>63.9</v>
      </c>
      <c r="S232">
        <v>27.5</v>
      </c>
      <c r="T232">
        <v>29.2</v>
      </c>
      <c r="U232">
        <v>58558270</v>
      </c>
      <c r="V232">
        <f t="shared" ca="1" si="9"/>
        <v>80.658430717863098</v>
      </c>
      <c r="W232" s="3">
        <f t="shared" si="10"/>
        <v>16596</v>
      </c>
      <c r="X232" s="3">
        <f t="shared" ca="1" si="11"/>
        <v>46056</v>
      </c>
    </row>
    <row r="233" spans="1:24"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5">
        <v>1392680589329</v>
      </c>
      <c r="R233">
        <v>82.7</v>
      </c>
      <c r="S233">
        <v>23</v>
      </c>
      <c r="T233">
        <v>47.4</v>
      </c>
      <c r="U233">
        <v>25766605</v>
      </c>
      <c r="V233">
        <f t="shared" ca="1" si="9"/>
        <v>75.70772294126013</v>
      </c>
      <c r="W233" s="3">
        <f t="shared" si="10"/>
        <v>18404</v>
      </c>
      <c r="X233" s="3">
        <f t="shared" ca="1" si="11"/>
        <v>46056</v>
      </c>
    </row>
    <row r="234" spans="1:24"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5">
        <v>19910000000000</v>
      </c>
      <c r="R234">
        <v>77</v>
      </c>
      <c r="S234">
        <v>9.4</v>
      </c>
      <c r="T234">
        <v>59.2</v>
      </c>
      <c r="U234">
        <v>1397715000</v>
      </c>
      <c r="V234">
        <f t="shared" ca="1" si="9"/>
        <v>80.091025857698156</v>
      </c>
      <c r="W234" s="3">
        <f t="shared" si="10"/>
        <v>16803</v>
      </c>
      <c r="X234" s="3">
        <f t="shared" ca="1" si="11"/>
        <v>46056</v>
      </c>
    </row>
    <row r="235" spans="1:24"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5">
        <v>21427700000000</v>
      </c>
      <c r="R235">
        <v>78.5</v>
      </c>
      <c r="S235">
        <v>9.6</v>
      </c>
      <c r="T235">
        <v>36.6</v>
      </c>
      <c r="U235">
        <v>328239523</v>
      </c>
      <c r="V235">
        <f t="shared" ca="1" si="9"/>
        <v>77.877490902789816</v>
      </c>
      <c r="W235" s="3">
        <f t="shared" si="10"/>
        <v>17611</v>
      </c>
      <c r="X235" s="3">
        <f t="shared" ca="1" si="11"/>
        <v>46056</v>
      </c>
    </row>
    <row r="236" spans="1:24"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5">
        <v>1699876578871</v>
      </c>
      <c r="R236">
        <v>72.7</v>
      </c>
      <c r="S236">
        <v>11.4</v>
      </c>
      <c r="T236">
        <v>46.2</v>
      </c>
      <c r="U236">
        <v>144373535</v>
      </c>
      <c r="V236">
        <f t="shared" ca="1" si="9"/>
        <v>64.280594042976844</v>
      </c>
      <c r="W236" s="3">
        <f t="shared" si="10"/>
        <v>22578</v>
      </c>
      <c r="X236" s="3">
        <f t="shared" ca="1" si="11"/>
        <v>46056</v>
      </c>
    </row>
    <row r="237" spans="1:24"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5">
        <v>448120428859</v>
      </c>
      <c r="R237">
        <v>54.3</v>
      </c>
      <c r="S237">
        <v>1.5</v>
      </c>
      <c r="T237">
        <v>34.799999999999997</v>
      </c>
      <c r="U237">
        <v>200963599</v>
      </c>
      <c r="V237">
        <f t="shared" ca="1" si="9"/>
        <v>65.499673095782939</v>
      </c>
      <c r="W237" s="3">
        <f t="shared" si="10"/>
        <v>22132</v>
      </c>
      <c r="X237" s="3">
        <f t="shared" ca="1" si="11"/>
        <v>46056</v>
      </c>
    </row>
    <row r="238" spans="1:24"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5">
        <v>21427700000000</v>
      </c>
      <c r="R238">
        <v>78.5</v>
      </c>
      <c r="S238">
        <v>9.6</v>
      </c>
      <c r="T238">
        <v>36.6</v>
      </c>
      <c r="U238">
        <v>328239523</v>
      </c>
      <c r="V238">
        <f t="shared" ca="1" si="9"/>
        <v>82.390143737166326</v>
      </c>
      <c r="W238" s="3">
        <f t="shared" si="10"/>
        <v>15963</v>
      </c>
      <c r="X238" s="3">
        <f t="shared" ca="1" si="11"/>
        <v>46056</v>
      </c>
    </row>
    <row r="239" spans="1:24"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5">
        <v>2611000000000</v>
      </c>
      <c r="R239">
        <v>69.400000000000006</v>
      </c>
      <c r="S239">
        <v>11.2</v>
      </c>
      <c r="T239">
        <v>49.7</v>
      </c>
      <c r="U239">
        <v>1366417754</v>
      </c>
      <c r="V239">
        <f t="shared" ca="1" si="9"/>
        <v>94.472279260780283</v>
      </c>
      <c r="W239" s="3">
        <f t="shared" si="10"/>
        <v>11550</v>
      </c>
      <c r="X239" s="3">
        <f t="shared" ca="1" si="11"/>
        <v>46056</v>
      </c>
    </row>
    <row r="240" spans="1:24"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5">
        <v>19910000000000</v>
      </c>
      <c r="R240">
        <v>77</v>
      </c>
      <c r="S240">
        <v>9.4</v>
      </c>
      <c r="T240">
        <v>59.2</v>
      </c>
      <c r="U240">
        <v>1397715000</v>
      </c>
      <c r="V240">
        <f t="shared" ca="1" si="9"/>
        <v>71.343584742902152</v>
      </c>
      <c r="W240" s="3">
        <f t="shared" si="10"/>
        <v>19998</v>
      </c>
      <c r="X240" s="3">
        <f t="shared" ca="1" si="11"/>
        <v>46056</v>
      </c>
    </row>
    <row r="241" spans="1:24"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5">
        <v>19910000000000</v>
      </c>
      <c r="R241">
        <v>77</v>
      </c>
      <c r="S241">
        <v>9.4</v>
      </c>
      <c r="T241">
        <v>59.2</v>
      </c>
      <c r="U241">
        <v>1397715000</v>
      </c>
      <c r="V241">
        <f t="shared" ca="1" si="9"/>
        <v>44.354502708172134</v>
      </c>
      <c r="W241" s="3">
        <f t="shared" si="10"/>
        <v>29856</v>
      </c>
      <c r="X241" s="3">
        <f t="shared" ca="1" si="11"/>
        <v>46056</v>
      </c>
    </row>
    <row r="242" spans="1:24"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5">
        <v>2715518274227</v>
      </c>
      <c r="R242">
        <v>82.5</v>
      </c>
      <c r="S242">
        <v>24.2</v>
      </c>
      <c r="T242">
        <v>60.7</v>
      </c>
      <c r="U242">
        <v>67059887</v>
      </c>
      <c r="V242">
        <f t="shared" ca="1" si="9"/>
        <v>72.579029154950419</v>
      </c>
      <c r="W242" s="3">
        <f t="shared" si="10"/>
        <v>19547</v>
      </c>
      <c r="X242" s="3">
        <f t="shared" ca="1" si="11"/>
        <v>46056</v>
      </c>
    </row>
    <row r="243" spans="1:24"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5">
        <v>2715518274227</v>
      </c>
      <c r="R243">
        <v>82.5</v>
      </c>
      <c r="S243">
        <v>24.2</v>
      </c>
      <c r="T243">
        <v>60.7</v>
      </c>
      <c r="U243">
        <v>67059887</v>
      </c>
      <c r="V243">
        <f t="shared" ca="1" si="9"/>
        <v>68.86103179880314</v>
      </c>
      <c r="W243" s="3">
        <f t="shared" si="10"/>
        <v>20905</v>
      </c>
      <c r="X243" s="3">
        <f t="shared" ca="1" si="11"/>
        <v>46056</v>
      </c>
    </row>
    <row r="244" spans="1:24"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5">
        <v>21427700000000</v>
      </c>
      <c r="R244">
        <v>78.5</v>
      </c>
      <c r="S244">
        <v>9.6</v>
      </c>
      <c r="T244">
        <v>36.6</v>
      </c>
      <c r="U244">
        <v>328239523</v>
      </c>
      <c r="V244">
        <f t="shared" ca="1" si="9"/>
        <v>68.611882504791339</v>
      </c>
      <c r="W244" s="3">
        <f t="shared" si="10"/>
        <v>20996</v>
      </c>
      <c r="X244" s="3">
        <f t="shared" ca="1" si="11"/>
        <v>46056</v>
      </c>
    </row>
    <row r="245" spans="1:24"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5">
        <v>2715518274227</v>
      </c>
      <c r="R245">
        <v>82.5</v>
      </c>
      <c r="S245">
        <v>24.2</v>
      </c>
      <c r="T245">
        <v>60.7</v>
      </c>
      <c r="U245">
        <v>67059887</v>
      </c>
      <c r="V245">
        <f t="shared" ca="1" si="9"/>
        <v>60.836387723559284</v>
      </c>
      <c r="W245" s="3">
        <f t="shared" si="10"/>
        <v>23836</v>
      </c>
      <c r="X245" s="3">
        <f t="shared" ca="1" si="11"/>
        <v>46056</v>
      </c>
    </row>
    <row r="246" spans="1:24"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5">
        <v>703082435360</v>
      </c>
      <c r="R246">
        <v>83.6</v>
      </c>
      <c r="S246">
        <v>10.1</v>
      </c>
      <c r="T246">
        <v>28.8</v>
      </c>
      <c r="U246">
        <v>8574832</v>
      </c>
      <c r="V246">
        <f t="shared" ca="1" si="9"/>
        <v>56.891144259818731</v>
      </c>
      <c r="W246" s="3">
        <f t="shared" si="10"/>
        <v>25277</v>
      </c>
      <c r="X246" s="3">
        <f t="shared" ca="1" si="11"/>
        <v>46056</v>
      </c>
    </row>
    <row r="247" spans="1:24"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5">
        <v>21427700000000</v>
      </c>
      <c r="R247">
        <v>78.5</v>
      </c>
      <c r="S247">
        <v>9.6</v>
      </c>
      <c r="T247">
        <v>36.6</v>
      </c>
      <c r="U247">
        <v>328239523</v>
      </c>
      <c r="V247">
        <f t="shared" ca="1" si="9"/>
        <v>42.650239561943877</v>
      </c>
      <c r="W247" s="3">
        <f t="shared" si="10"/>
        <v>30478</v>
      </c>
      <c r="X247" s="3">
        <f t="shared" ca="1" si="11"/>
        <v>46056</v>
      </c>
    </row>
    <row r="248" spans="1:24"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5">
        <v>1699876578871</v>
      </c>
      <c r="R248">
        <v>72.7</v>
      </c>
      <c r="S248">
        <v>11.4</v>
      </c>
      <c r="T248">
        <v>46.2</v>
      </c>
      <c r="U248">
        <v>144373535</v>
      </c>
      <c r="V248">
        <f t="shared" ca="1" si="9"/>
        <v>69.830948983920095</v>
      </c>
      <c r="W248" s="3">
        <f t="shared" si="10"/>
        <v>20550</v>
      </c>
      <c r="X248" s="3">
        <f t="shared" ca="1" si="11"/>
        <v>46056</v>
      </c>
    </row>
    <row r="249" spans="1:24"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5">
        <v>21427700000000</v>
      </c>
      <c r="R249">
        <v>78.5</v>
      </c>
      <c r="S249">
        <v>9.6</v>
      </c>
      <c r="T249">
        <v>36.6</v>
      </c>
      <c r="U249">
        <v>328239523</v>
      </c>
      <c r="V249">
        <f t="shared" ca="1" si="9"/>
        <v>96.732357378331557</v>
      </c>
      <c r="W249" s="3">
        <f t="shared" si="10"/>
        <v>10725</v>
      </c>
      <c r="X249" s="3">
        <f t="shared" ca="1" si="11"/>
        <v>46056</v>
      </c>
    </row>
    <row r="250" spans="1:24"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5">
        <v>21427700000000</v>
      </c>
      <c r="R250">
        <v>78.5</v>
      </c>
      <c r="S250">
        <v>9.6</v>
      </c>
      <c r="T250">
        <v>36.6</v>
      </c>
      <c r="U250">
        <v>328239523</v>
      </c>
      <c r="V250">
        <f t="shared" ca="1" si="9"/>
        <v>88.724142127038206</v>
      </c>
      <c r="W250" s="3">
        <f t="shared" si="10"/>
        <v>13650</v>
      </c>
      <c r="X250" s="3">
        <f t="shared" ca="1" si="11"/>
        <v>46056</v>
      </c>
    </row>
    <row r="251" spans="1:24"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5">
        <v>21427700000000</v>
      </c>
      <c r="R251">
        <v>78.5</v>
      </c>
      <c r="S251">
        <v>9.6</v>
      </c>
      <c r="T251">
        <v>36.6</v>
      </c>
      <c r="U251">
        <v>328239523</v>
      </c>
      <c r="V251">
        <f t="shared" ca="1" si="9"/>
        <v>63.176572174718842</v>
      </c>
      <c r="W251" s="3">
        <f t="shared" si="10"/>
        <v>22981</v>
      </c>
      <c r="X251" s="3">
        <f t="shared" ca="1" si="11"/>
        <v>46056</v>
      </c>
    </row>
    <row r="252" spans="1:24"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5">
        <v>246489245495</v>
      </c>
      <c r="R252">
        <v>79</v>
      </c>
      <c r="S252">
        <v>14.9</v>
      </c>
      <c r="T252">
        <v>46.1</v>
      </c>
      <c r="U252">
        <v>10669709</v>
      </c>
      <c r="V252">
        <f t="shared" ca="1" si="9"/>
        <v>61.721437573334491</v>
      </c>
      <c r="W252" s="3">
        <f t="shared" si="10"/>
        <v>23512</v>
      </c>
      <c r="X252" s="3">
        <f t="shared" ca="1" si="11"/>
        <v>46056</v>
      </c>
    </row>
    <row r="253" spans="1:24"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5">
        <v>21427700000000</v>
      </c>
      <c r="R253">
        <v>78.5</v>
      </c>
      <c r="S253">
        <v>9.6</v>
      </c>
      <c r="T253">
        <v>36.6</v>
      </c>
      <c r="U253">
        <v>328239523</v>
      </c>
      <c r="V253">
        <f t="shared" ca="1" si="9"/>
        <v>55.3654834526154</v>
      </c>
      <c r="W253" s="3">
        <f t="shared" si="10"/>
        <v>25834</v>
      </c>
      <c r="X253" s="3">
        <f t="shared" ca="1" si="11"/>
        <v>46056</v>
      </c>
    </row>
    <row r="254" spans="1:24"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5">
        <v>19910000000000</v>
      </c>
      <c r="R254">
        <v>77</v>
      </c>
      <c r="S254">
        <v>9.4</v>
      </c>
      <c r="T254">
        <v>59.2</v>
      </c>
      <c r="U254">
        <v>1397715000</v>
      </c>
      <c r="V254">
        <f t="shared" ca="1" si="9"/>
        <v>55.176569479802104</v>
      </c>
      <c r="W254" s="3">
        <f t="shared" si="10"/>
        <v>25903</v>
      </c>
      <c r="X254" s="3">
        <f t="shared" ca="1" si="11"/>
        <v>46056</v>
      </c>
    </row>
    <row r="255" spans="1:24"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5">
        <v>21427700000000</v>
      </c>
      <c r="R255">
        <v>78.5</v>
      </c>
      <c r="S255">
        <v>9.6</v>
      </c>
      <c r="T255">
        <v>36.6</v>
      </c>
      <c r="U255">
        <v>328239523</v>
      </c>
      <c r="V255">
        <f t="shared" ca="1" si="9"/>
        <v>74.724161533196437</v>
      </c>
      <c r="W255" s="3">
        <f t="shared" si="10"/>
        <v>18763</v>
      </c>
      <c r="X255" s="3">
        <f t="shared" ca="1" si="11"/>
        <v>46056</v>
      </c>
    </row>
    <row r="256" spans="1:24"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5">
        <v>2029000000000</v>
      </c>
      <c r="R256">
        <v>82.6</v>
      </c>
      <c r="S256">
        <v>15.6</v>
      </c>
      <c r="T256">
        <v>33.200000000000003</v>
      </c>
      <c r="U256">
        <v>51709098</v>
      </c>
      <c r="V256">
        <f t="shared" ca="1" si="9"/>
        <v>57.614663573085849</v>
      </c>
      <c r="W256" s="3">
        <f t="shared" si="10"/>
        <v>25012</v>
      </c>
      <c r="X256" s="3">
        <f t="shared" ca="1" si="11"/>
        <v>46056</v>
      </c>
    </row>
    <row r="257" spans="1:24"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5">
        <v>21427700000000</v>
      </c>
      <c r="R257">
        <v>78.5</v>
      </c>
      <c r="S257">
        <v>9.6</v>
      </c>
      <c r="T257">
        <v>36.6</v>
      </c>
      <c r="U257">
        <v>328239523</v>
      </c>
      <c r="V257">
        <f t="shared" ca="1" si="9"/>
        <v>57.379211136890952</v>
      </c>
      <c r="W257" s="3">
        <f t="shared" si="10"/>
        <v>25098</v>
      </c>
      <c r="X257" s="3">
        <f t="shared" ca="1" si="11"/>
        <v>46056</v>
      </c>
    </row>
    <row r="258" spans="1:24"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5">
        <v>21427700000000</v>
      </c>
      <c r="R258">
        <v>78.5</v>
      </c>
      <c r="S258">
        <v>9.6</v>
      </c>
      <c r="T258">
        <v>36.6</v>
      </c>
      <c r="U258">
        <v>328239523</v>
      </c>
      <c r="V258">
        <f t="shared" ref="V258:V321" ca="1" si="12">YEARFRAC(W258,X258,1)</f>
        <v>74.852840520191648</v>
      </c>
      <c r="W258" s="3">
        <f t="shared" si="10"/>
        <v>18716</v>
      </c>
      <c r="X258" s="3">
        <f t="shared" ca="1" si="11"/>
        <v>46056</v>
      </c>
    </row>
    <row r="259" spans="1:24"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5">
        <v>1699876578871</v>
      </c>
      <c r="R259">
        <v>72.7</v>
      </c>
      <c r="S259">
        <v>11.4</v>
      </c>
      <c r="T259">
        <v>46.2</v>
      </c>
      <c r="U259">
        <v>144373535</v>
      </c>
      <c r="V259">
        <f t="shared" ca="1" si="12"/>
        <v>60.011624775583485</v>
      </c>
      <c r="W259" s="3">
        <f t="shared" ref="W259:W322" si="13">DATE(M259,N259,O259)</f>
        <v>24137</v>
      </c>
      <c r="X259" s="3">
        <f t="shared" ref="X259:X322" ca="1" si="14">TODAY()</f>
        <v>46056</v>
      </c>
    </row>
    <row r="260" spans="1:24"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5">
        <v>446314739528</v>
      </c>
      <c r="R260">
        <v>81.599999999999994</v>
      </c>
      <c r="S260">
        <v>25.4</v>
      </c>
      <c r="T260">
        <v>51.4</v>
      </c>
      <c r="U260">
        <v>8877067</v>
      </c>
      <c r="V260">
        <f t="shared" ca="1" si="12"/>
        <v>53.387425954502461</v>
      </c>
      <c r="W260" s="3">
        <f t="shared" si="13"/>
        <v>26556</v>
      </c>
      <c r="X260" s="3">
        <f t="shared" ca="1" si="14"/>
        <v>46056</v>
      </c>
    </row>
    <row r="261" spans="1:24"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5">
        <v>21427700000000</v>
      </c>
      <c r="R261">
        <v>78.5</v>
      </c>
      <c r="S261">
        <v>9.6</v>
      </c>
      <c r="T261">
        <v>36.6</v>
      </c>
      <c r="U261">
        <v>328239523</v>
      </c>
      <c r="V261">
        <f t="shared" ca="1" si="12"/>
        <v>76.192986766822287</v>
      </c>
      <c r="W261" s="3">
        <f t="shared" si="13"/>
        <v>18227</v>
      </c>
      <c r="X261" s="3">
        <f t="shared" ca="1" si="14"/>
        <v>46056</v>
      </c>
    </row>
    <row r="262" spans="1:24"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5">
        <v>19910000000000</v>
      </c>
      <c r="R262">
        <v>77</v>
      </c>
      <c r="S262">
        <v>9.4</v>
      </c>
      <c r="T262">
        <v>59.2</v>
      </c>
      <c r="U262">
        <v>1397715000</v>
      </c>
      <c r="V262">
        <f t="shared" ca="1" si="12"/>
        <v>69.592758261674319</v>
      </c>
      <c r="W262" s="3">
        <f t="shared" si="13"/>
        <v>20637</v>
      </c>
      <c r="X262" s="3">
        <f t="shared" ca="1" si="14"/>
        <v>46056</v>
      </c>
    </row>
    <row r="263" spans="1:24"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5">
        <v>19910000000000</v>
      </c>
      <c r="R263">
        <v>77</v>
      </c>
      <c r="S263">
        <v>9.4</v>
      </c>
      <c r="T263">
        <v>59.2</v>
      </c>
      <c r="U263">
        <v>1397715000</v>
      </c>
      <c r="V263">
        <f t="shared" ca="1" si="12"/>
        <v>56.085546856237087</v>
      </c>
      <c r="W263" s="3">
        <f t="shared" si="13"/>
        <v>25571</v>
      </c>
      <c r="X263" s="3">
        <f t="shared" ca="1" si="14"/>
        <v>46056</v>
      </c>
    </row>
    <row r="264" spans="1:24"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5">
        <v>19910000000000</v>
      </c>
      <c r="R264">
        <v>77</v>
      </c>
      <c r="S264">
        <v>9.4</v>
      </c>
      <c r="T264">
        <v>59.2</v>
      </c>
      <c r="U264">
        <v>1397715000</v>
      </c>
      <c r="V264">
        <f t="shared" ca="1" si="12"/>
        <v>61.507887532049892</v>
      </c>
      <c r="W264" s="3">
        <f t="shared" si="13"/>
        <v>23590</v>
      </c>
      <c r="X264" s="3">
        <f t="shared" ca="1" si="14"/>
        <v>46056</v>
      </c>
    </row>
    <row r="265" spans="1:24"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5">
        <v>2715518274227</v>
      </c>
      <c r="R265">
        <v>82.5</v>
      </c>
      <c r="S265">
        <v>24.2</v>
      </c>
      <c r="T265">
        <v>60.7</v>
      </c>
      <c r="U265">
        <v>67059887</v>
      </c>
      <c r="V265">
        <f t="shared" ca="1" si="12"/>
        <v>58.666666666666664</v>
      </c>
      <c r="W265" s="3">
        <f t="shared" si="13"/>
        <v>24628</v>
      </c>
      <c r="X265" s="3">
        <f t="shared" ca="1" si="14"/>
        <v>46056</v>
      </c>
    </row>
    <row r="266" spans="1:24"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5">
        <v>2715518274227</v>
      </c>
      <c r="R266">
        <v>82.5</v>
      </c>
      <c r="S266">
        <v>24.2</v>
      </c>
      <c r="T266">
        <v>60.7</v>
      </c>
      <c r="U266">
        <v>67059887</v>
      </c>
      <c r="V266">
        <f t="shared" ca="1" si="12"/>
        <v>45.513368672452962</v>
      </c>
      <c r="W266" s="3">
        <f t="shared" si="13"/>
        <v>29432</v>
      </c>
      <c r="X266" s="3">
        <f t="shared" ca="1" si="14"/>
        <v>46056</v>
      </c>
    </row>
    <row r="267" spans="1:24"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5">
        <v>21427700000000</v>
      </c>
      <c r="R267">
        <v>78.5</v>
      </c>
      <c r="S267">
        <v>9.6</v>
      </c>
      <c r="T267">
        <v>36.6</v>
      </c>
      <c r="U267">
        <v>328239523</v>
      </c>
      <c r="V267">
        <f t="shared" ca="1" si="12"/>
        <v>82.951403148528399</v>
      </c>
      <c r="W267" s="3">
        <f t="shared" si="13"/>
        <v>15758</v>
      </c>
      <c r="X267" s="3">
        <f t="shared" ca="1" si="14"/>
        <v>46056</v>
      </c>
    </row>
    <row r="268" spans="1:24"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5">
        <v>19910000000000</v>
      </c>
      <c r="R268">
        <v>77</v>
      </c>
      <c r="S268">
        <v>9.4</v>
      </c>
      <c r="T268">
        <v>59.2</v>
      </c>
      <c r="U268">
        <v>1397715000</v>
      </c>
      <c r="V268">
        <f t="shared" ca="1" si="12"/>
        <v>57.212204176334112</v>
      </c>
      <c r="W268" s="3">
        <f t="shared" si="13"/>
        <v>25159</v>
      </c>
      <c r="X268" s="3">
        <f t="shared" ca="1" si="14"/>
        <v>46056</v>
      </c>
    </row>
    <row r="269" spans="1:24"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5">
        <v>19910000000000</v>
      </c>
      <c r="R269">
        <v>77</v>
      </c>
      <c r="S269">
        <v>9.4</v>
      </c>
      <c r="T269">
        <v>59.2</v>
      </c>
      <c r="U269">
        <v>1397715000</v>
      </c>
      <c r="V269">
        <f t="shared" ca="1" si="12"/>
        <v>74.425735797399042</v>
      </c>
      <c r="W269" s="3">
        <f t="shared" si="13"/>
        <v>18872</v>
      </c>
      <c r="X269" s="3">
        <f t="shared" ca="1" si="14"/>
        <v>46056</v>
      </c>
    </row>
    <row r="270" spans="1:24"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5">
        <v>21427700000000</v>
      </c>
      <c r="R270">
        <v>78.5</v>
      </c>
      <c r="S270">
        <v>9.6</v>
      </c>
      <c r="T270">
        <v>36.6</v>
      </c>
      <c r="U270">
        <v>328239523</v>
      </c>
      <c r="V270">
        <f t="shared" ca="1" si="12"/>
        <v>71.373701383940286</v>
      </c>
      <c r="W270" s="3">
        <f t="shared" si="13"/>
        <v>19987</v>
      </c>
      <c r="X270" s="3">
        <f t="shared" ca="1" si="14"/>
        <v>46056</v>
      </c>
    </row>
    <row r="271" spans="1:24"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5">
        <v>21427700000000</v>
      </c>
      <c r="R271">
        <v>78.5</v>
      </c>
      <c r="S271">
        <v>9.6</v>
      </c>
      <c r="T271">
        <v>36.6</v>
      </c>
      <c r="U271">
        <v>328239523</v>
      </c>
      <c r="V271">
        <f t="shared" ca="1" si="12"/>
        <v>71.08555783709788</v>
      </c>
      <c r="W271" s="3">
        <f t="shared" si="13"/>
        <v>20092</v>
      </c>
      <c r="X271" s="3">
        <f t="shared" ca="1" si="14"/>
        <v>46056</v>
      </c>
    </row>
    <row r="272" spans="1:24"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5">
        <v>403336363636</v>
      </c>
      <c r="R272">
        <v>82.8</v>
      </c>
      <c r="S272">
        <v>23.9</v>
      </c>
      <c r="T272">
        <v>36.200000000000003</v>
      </c>
      <c r="U272">
        <v>5347896</v>
      </c>
      <c r="V272">
        <f t="shared" ca="1" si="12"/>
        <v>64.617356674686803</v>
      </c>
      <c r="W272" s="3">
        <f t="shared" si="13"/>
        <v>22455</v>
      </c>
      <c r="X272" s="3">
        <f t="shared" ca="1" si="14"/>
        <v>46056</v>
      </c>
    </row>
    <row r="273" spans="1:24"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5">
        <v>19910000000000</v>
      </c>
      <c r="R273">
        <v>77</v>
      </c>
      <c r="S273">
        <v>9.4</v>
      </c>
      <c r="T273">
        <v>59.2</v>
      </c>
      <c r="U273">
        <v>1397715000</v>
      </c>
      <c r="V273">
        <f t="shared" ca="1" si="12"/>
        <v>57.529791183294662</v>
      </c>
      <c r="W273" s="3">
        <f t="shared" si="13"/>
        <v>25043</v>
      </c>
      <c r="X273" s="3">
        <f t="shared" ca="1" si="14"/>
        <v>46056</v>
      </c>
    </row>
    <row r="274" spans="1:24"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5">
        <v>2611000000000</v>
      </c>
      <c r="R274">
        <v>69.400000000000006</v>
      </c>
      <c r="S274">
        <v>11.2</v>
      </c>
      <c r="T274">
        <v>49.7</v>
      </c>
      <c r="U274">
        <v>1366417754</v>
      </c>
      <c r="V274">
        <f t="shared" ca="1" si="12"/>
        <v>92.376430839134358</v>
      </c>
      <c r="W274" s="3">
        <f t="shared" si="13"/>
        <v>12316</v>
      </c>
      <c r="X274" s="3">
        <f t="shared" ca="1" si="14"/>
        <v>46056</v>
      </c>
    </row>
    <row r="275" spans="1:24"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5">
        <v>2827113184696</v>
      </c>
      <c r="R275">
        <v>81.3</v>
      </c>
      <c r="S275">
        <v>25.5</v>
      </c>
      <c r="T275">
        <v>30.6</v>
      </c>
      <c r="U275">
        <v>66834405</v>
      </c>
      <c r="V275">
        <f t="shared" ca="1" si="12"/>
        <v>70.168377823408619</v>
      </c>
      <c r="W275" s="3">
        <f t="shared" si="13"/>
        <v>20427</v>
      </c>
      <c r="X275" s="3">
        <f t="shared" ca="1" si="14"/>
        <v>46056</v>
      </c>
    </row>
    <row r="276" spans="1:24"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5">
        <v>21427700000000</v>
      </c>
      <c r="R276">
        <v>78.5</v>
      </c>
      <c r="S276">
        <v>9.6</v>
      </c>
      <c r="T276">
        <v>36.6</v>
      </c>
      <c r="U276">
        <v>328239523</v>
      </c>
      <c r="V276">
        <f t="shared" ca="1" si="12"/>
        <v>44.455806202011786</v>
      </c>
      <c r="W276" s="3">
        <f t="shared" si="13"/>
        <v>29819</v>
      </c>
      <c r="X276" s="3">
        <f t="shared" ca="1" si="14"/>
        <v>46056</v>
      </c>
    </row>
    <row r="277" spans="1:24"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5">
        <v>372062527489</v>
      </c>
      <c r="R277">
        <v>83.1</v>
      </c>
      <c r="S277">
        <v>13.1</v>
      </c>
      <c r="T277">
        <v>21</v>
      </c>
      <c r="U277">
        <v>5703569</v>
      </c>
      <c r="V277">
        <f t="shared" ca="1" si="12"/>
        <v>67.091033538672136</v>
      </c>
      <c r="W277" s="3">
        <f t="shared" si="13"/>
        <v>21551</v>
      </c>
      <c r="X277" s="3">
        <f t="shared" ca="1" si="14"/>
        <v>46056</v>
      </c>
    </row>
    <row r="278" spans="1:24"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5">
        <v>2827113184696</v>
      </c>
      <c r="R278">
        <v>81.3</v>
      </c>
      <c r="S278">
        <v>25.5</v>
      </c>
      <c r="T278">
        <v>30.6</v>
      </c>
      <c r="U278">
        <v>66834405</v>
      </c>
      <c r="V278">
        <f t="shared" ca="1" si="12"/>
        <v>68.913051981069344</v>
      </c>
      <c r="W278" s="3">
        <f t="shared" si="13"/>
        <v>20886</v>
      </c>
      <c r="X278" s="3">
        <f t="shared" ca="1" si="14"/>
        <v>46056</v>
      </c>
    </row>
    <row r="279" spans="1:24"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5">
        <v>21427700000000</v>
      </c>
      <c r="R279">
        <v>78.5</v>
      </c>
      <c r="S279">
        <v>9.6</v>
      </c>
      <c r="T279">
        <v>36.6</v>
      </c>
      <c r="U279">
        <v>328239523</v>
      </c>
      <c r="V279">
        <f t="shared" ca="1" si="12"/>
        <v>87.855569569631157</v>
      </c>
      <c r="W279" s="3">
        <f t="shared" si="13"/>
        <v>13967</v>
      </c>
      <c r="X279" s="3">
        <f t="shared" ca="1" si="14"/>
        <v>46056</v>
      </c>
    </row>
    <row r="280" spans="1:24"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5">
        <v>19910000000000</v>
      </c>
      <c r="R280">
        <v>77</v>
      </c>
      <c r="S280">
        <v>9.4</v>
      </c>
      <c r="T280">
        <v>59.2</v>
      </c>
      <c r="U280">
        <v>1397715000</v>
      </c>
      <c r="V280">
        <f t="shared" ca="1" si="12"/>
        <v>65.091014685140621</v>
      </c>
      <c r="W280" s="3">
        <f t="shared" si="13"/>
        <v>22282</v>
      </c>
      <c r="X280" s="3">
        <f t="shared" ca="1" si="14"/>
        <v>46056</v>
      </c>
    </row>
    <row r="281" spans="1:24"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5">
        <v>21427700000000</v>
      </c>
      <c r="R281">
        <v>78.5</v>
      </c>
      <c r="S281">
        <v>9.6</v>
      </c>
      <c r="T281">
        <v>36.6</v>
      </c>
      <c r="U281">
        <v>328239523</v>
      </c>
      <c r="V281">
        <f t="shared" ca="1" si="12"/>
        <v>83.354538426850482</v>
      </c>
      <c r="W281" s="3">
        <f t="shared" si="13"/>
        <v>15611</v>
      </c>
      <c r="X281" s="3">
        <f t="shared" ca="1" si="14"/>
        <v>46056</v>
      </c>
    </row>
    <row r="282" spans="1:24"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5">
        <v>21427700000000</v>
      </c>
      <c r="R282">
        <v>78.5</v>
      </c>
      <c r="S282">
        <v>9.6</v>
      </c>
      <c r="T282">
        <v>36.6</v>
      </c>
      <c r="U282">
        <v>328239523</v>
      </c>
      <c r="V282">
        <f t="shared" ca="1" si="12"/>
        <v>88.000676777309508</v>
      </c>
      <c r="W282" s="3">
        <f t="shared" si="13"/>
        <v>13914</v>
      </c>
      <c r="X282" s="3">
        <f t="shared" ca="1" si="14"/>
        <v>46056</v>
      </c>
    </row>
    <row r="283" spans="1:24"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5">
        <v>19910000000000</v>
      </c>
      <c r="R283">
        <v>77</v>
      </c>
      <c r="S283">
        <v>9.4</v>
      </c>
      <c r="T283">
        <v>59.2</v>
      </c>
      <c r="U283">
        <v>1397715000</v>
      </c>
      <c r="V283">
        <f t="shared" ca="1" si="12"/>
        <v>62.091043414019381</v>
      </c>
      <c r="W283" s="3">
        <f t="shared" si="13"/>
        <v>23377</v>
      </c>
      <c r="X283" s="3">
        <f t="shared" ca="1" si="14"/>
        <v>46056</v>
      </c>
    </row>
    <row r="284" spans="1:24"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5">
        <v>21427700000000</v>
      </c>
      <c r="R284">
        <v>78.5</v>
      </c>
      <c r="S284">
        <v>9.6</v>
      </c>
      <c r="T284">
        <v>36.6</v>
      </c>
      <c r="U284">
        <v>328239523</v>
      </c>
      <c r="V284">
        <f t="shared" ca="1" si="12"/>
        <v>71.351798372276193</v>
      </c>
      <c r="W284" s="3">
        <f t="shared" si="13"/>
        <v>19995</v>
      </c>
      <c r="X284" s="3">
        <f t="shared" ca="1" si="14"/>
        <v>46056</v>
      </c>
    </row>
    <row r="285" spans="1:24"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5">
        <v>21427700000000</v>
      </c>
      <c r="R285">
        <v>78.5</v>
      </c>
      <c r="S285">
        <v>9.6</v>
      </c>
      <c r="T285">
        <v>36.6</v>
      </c>
      <c r="U285">
        <v>328239523</v>
      </c>
      <c r="V285">
        <f t="shared" ca="1" si="12"/>
        <v>82.077351893389633</v>
      </c>
      <c r="W285" s="3">
        <f t="shared" si="13"/>
        <v>16077</v>
      </c>
      <c r="X285" s="3">
        <f t="shared" ca="1" si="14"/>
        <v>46056</v>
      </c>
    </row>
    <row r="286" spans="1:24"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5">
        <v>372062527489</v>
      </c>
      <c r="R286">
        <v>83.1</v>
      </c>
      <c r="S286">
        <v>13.1</v>
      </c>
      <c r="T286">
        <v>21</v>
      </c>
      <c r="U286">
        <v>5703569</v>
      </c>
      <c r="V286">
        <f t="shared" ca="1" si="12"/>
        <v>55.595465680388109</v>
      </c>
      <c r="W286" s="3">
        <f t="shared" si="13"/>
        <v>25750</v>
      </c>
      <c r="X286" s="3">
        <f t="shared" ca="1" si="14"/>
        <v>46056</v>
      </c>
    </row>
    <row r="287" spans="1:24"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5">
        <v>21427700000000</v>
      </c>
      <c r="R287">
        <v>78.5</v>
      </c>
      <c r="S287">
        <v>9.6</v>
      </c>
      <c r="T287">
        <v>36.6</v>
      </c>
      <c r="U287">
        <v>328239523</v>
      </c>
      <c r="V287">
        <f t="shared" ca="1" si="12"/>
        <v>83.077344284736483</v>
      </c>
      <c r="W287" s="3">
        <f t="shared" si="13"/>
        <v>15712</v>
      </c>
      <c r="X287" s="3">
        <f t="shared" ca="1" si="14"/>
        <v>46056</v>
      </c>
    </row>
    <row r="288" spans="1:24"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5">
        <v>2827113184696</v>
      </c>
      <c r="R288">
        <v>81.3</v>
      </c>
      <c r="S288">
        <v>25.5</v>
      </c>
      <c r="T288">
        <v>30.6</v>
      </c>
      <c r="U288">
        <v>66834405</v>
      </c>
      <c r="V288">
        <f t="shared" ca="1" si="12"/>
        <v>73.480506680294951</v>
      </c>
      <c r="W288" s="3">
        <f t="shared" si="13"/>
        <v>19217</v>
      </c>
      <c r="X288" s="3">
        <f t="shared" ca="1" si="14"/>
        <v>46056</v>
      </c>
    </row>
    <row r="289" spans="1:24"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5">
        <v>19910000000000</v>
      </c>
      <c r="R289">
        <v>77</v>
      </c>
      <c r="S289">
        <v>9.4</v>
      </c>
      <c r="T289">
        <v>59.2</v>
      </c>
      <c r="U289">
        <v>1397715000</v>
      </c>
      <c r="V289">
        <f t="shared" ca="1" si="12"/>
        <v>62.091043414019381</v>
      </c>
      <c r="W289" s="3">
        <f t="shared" si="13"/>
        <v>23377</v>
      </c>
      <c r="X289" s="3">
        <f t="shared" ca="1" si="14"/>
        <v>46056</v>
      </c>
    </row>
    <row r="290" spans="1:24"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5">
        <v>372062527489</v>
      </c>
      <c r="R290">
        <v>83.1</v>
      </c>
      <c r="S290">
        <v>13.1</v>
      </c>
      <c r="T290">
        <v>21</v>
      </c>
      <c r="U290">
        <v>5703569</v>
      </c>
      <c r="V290">
        <f t="shared" ca="1" si="12"/>
        <v>74.091041833978238</v>
      </c>
      <c r="W290" s="3">
        <f t="shared" si="13"/>
        <v>18994</v>
      </c>
      <c r="X290" s="3">
        <f t="shared" ca="1" si="14"/>
        <v>46056</v>
      </c>
    </row>
    <row r="291" spans="1:24"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5">
        <v>21427700000000</v>
      </c>
      <c r="R291">
        <v>78.5</v>
      </c>
      <c r="S291">
        <v>9.6</v>
      </c>
      <c r="T291">
        <v>36.6</v>
      </c>
      <c r="U291">
        <v>328239523</v>
      </c>
      <c r="V291">
        <f t="shared" ca="1" si="12"/>
        <v>74.847364818617379</v>
      </c>
      <c r="W291" s="3">
        <f t="shared" si="13"/>
        <v>18718</v>
      </c>
      <c r="X291" s="3">
        <f t="shared" ca="1" si="14"/>
        <v>46056</v>
      </c>
    </row>
    <row r="292" spans="1:24"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5">
        <v>303175127598</v>
      </c>
      <c r="R292">
        <v>71.8</v>
      </c>
      <c r="S292">
        <v>12.5</v>
      </c>
      <c r="T292">
        <v>44.4</v>
      </c>
      <c r="U292">
        <v>100388073</v>
      </c>
      <c r="V292">
        <f t="shared" ca="1" si="12"/>
        <v>65.041732348792834</v>
      </c>
      <c r="W292" s="3">
        <f t="shared" si="13"/>
        <v>22300</v>
      </c>
      <c r="X292" s="3">
        <f t="shared" ca="1" si="14"/>
        <v>46056</v>
      </c>
    </row>
    <row r="293" spans="1:24"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5">
        <v>21427700000000</v>
      </c>
      <c r="R293">
        <v>78.5</v>
      </c>
      <c r="S293">
        <v>9.6</v>
      </c>
      <c r="T293">
        <v>36.6</v>
      </c>
      <c r="U293">
        <v>328239523</v>
      </c>
      <c r="V293">
        <f t="shared" ca="1" si="12"/>
        <v>84.179300245137057</v>
      </c>
      <c r="W293" s="3">
        <f t="shared" si="13"/>
        <v>15310</v>
      </c>
      <c r="X293" s="3">
        <f t="shared" ca="1" si="14"/>
        <v>46056</v>
      </c>
    </row>
    <row r="294" spans="1:24"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5">
        <v>2611000000000</v>
      </c>
      <c r="R294">
        <v>69.400000000000006</v>
      </c>
      <c r="S294">
        <v>11.2</v>
      </c>
      <c r="T294">
        <v>49.7</v>
      </c>
      <c r="U294">
        <v>1366417754</v>
      </c>
      <c r="V294">
        <f t="shared" ca="1" si="12"/>
        <v>94.677618069815196</v>
      </c>
      <c r="W294" s="3">
        <f t="shared" si="13"/>
        <v>11475</v>
      </c>
      <c r="X294" s="3">
        <f t="shared" ca="1" si="14"/>
        <v>46056</v>
      </c>
    </row>
    <row r="295" spans="1:24"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5">
        <v>1699876578871</v>
      </c>
      <c r="R295">
        <v>72.7</v>
      </c>
      <c r="S295">
        <v>11.4</v>
      </c>
      <c r="T295">
        <v>46.2</v>
      </c>
      <c r="U295">
        <v>144373535</v>
      </c>
      <c r="V295">
        <f t="shared" ca="1" si="12"/>
        <v>62.165639972621491</v>
      </c>
      <c r="W295" s="3">
        <f t="shared" si="13"/>
        <v>23350</v>
      </c>
      <c r="X295" s="3">
        <f t="shared" ca="1" si="14"/>
        <v>46056</v>
      </c>
    </row>
    <row r="296" spans="1:24"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5">
        <v>348078018464</v>
      </c>
      <c r="R296">
        <v>81</v>
      </c>
      <c r="S296">
        <v>32.4</v>
      </c>
      <c r="T296">
        <v>23.8</v>
      </c>
      <c r="U296">
        <v>5818553</v>
      </c>
      <c r="V296">
        <f t="shared" ca="1" si="12"/>
        <v>53.24779730200607</v>
      </c>
      <c r="W296" s="3">
        <f t="shared" si="13"/>
        <v>26607</v>
      </c>
      <c r="X296" s="3">
        <f t="shared" ca="1" si="14"/>
        <v>46056</v>
      </c>
    </row>
    <row r="297" spans="1:24"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5">
        <v>376795508680</v>
      </c>
      <c r="R297">
        <v>71.099999999999994</v>
      </c>
      <c r="S297">
        <v>14</v>
      </c>
      <c r="T297">
        <v>43.1</v>
      </c>
      <c r="U297">
        <v>108116615</v>
      </c>
      <c r="V297">
        <f t="shared" ca="1" si="12"/>
        <v>65.921297809741745</v>
      </c>
      <c r="W297" s="3">
        <f t="shared" si="13"/>
        <v>21978</v>
      </c>
      <c r="X297" s="3">
        <f t="shared" ca="1" si="14"/>
        <v>46056</v>
      </c>
    </row>
    <row r="298" spans="1:24"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5">
        <v>19910000000000</v>
      </c>
      <c r="R298">
        <v>77</v>
      </c>
      <c r="S298">
        <v>9.4</v>
      </c>
      <c r="T298">
        <v>59.2</v>
      </c>
      <c r="U298">
        <v>1397715000</v>
      </c>
      <c r="V298">
        <f t="shared" ca="1" si="12"/>
        <v>58.672142368240934</v>
      </c>
      <c r="W298" s="3">
        <f t="shared" si="13"/>
        <v>24626</v>
      </c>
      <c r="X298" s="3">
        <f t="shared" ca="1" si="14"/>
        <v>46056</v>
      </c>
    </row>
    <row r="299" spans="1:24"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5">
        <v>21427700000000</v>
      </c>
      <c r="R299">
        <v>78.5</v>
      </c>
      <c r="S299">
        <v>9.6</v>
      </c>
      <c r="T299">
        <v>36.6</v>
      </c>
      <c r="U299">
        <v>328239523</v>
      </c>
      <c r="V299">
        <f t="shared" ca="1" si="12"/>
        <v>68.192983142331911</v>
      </c>
      <c r="W299" s="3">
        <f t="shared" si="13"/>
        <v>21149</v>
      </c>
      <c r="X299" s="3">
        <f t="shared" ca="1" si="14"/>
        <v>46056</v>
      </c>
    </row>
    <row r="300" spans="1:24"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5">
        <v>21427700000000</v>
      </c>
      <c r="R300">
        <v>78.5</v>
      </c>
      <c r="S300">
        <v>9.6</v>
      </c>
      <c r="T300">
        <v>36.6</v>
      </c>
      <c r="U300">
        <v>328239523</v>
      </c>
      <c r="V300">
        <f t="shared" ca="1" si="12"/>
        <v>71.151933390841236</v>
      </c>
      <c r="W300" s="3">
        <f t="shared" si="13"/>
        <v>20068</v>
      </c>
      <c r="X300" s="3">
        <f t="shared" ca="1" si="14"/>
        <v>46056</v>
      </c>
    </row>
    <row r="301" spans="1:24"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5">
        <v>21427700000000</v>
      </c>
      <c r="R301">
        <v>78.5</v>
      </c>
      <c r="S301">
        <v>9.6</v>
      </c>
      <c r="T301">
        <v>36.6</v>
      </c>
      <c r="U301">
        <v>328239523</v>
      </c>
      <c r="V301">
        <f t="shared" ca="1" si="12"/>
        <v>82.644763860369608</v>
      </c>
      <c r="W301" s="3">
        <f t="shared" si="13"/>
        <v>15870</v>
      </c>
      <c r="X301" s="3">
        <f t="shared" ca="1" si="14"/>
        <v>46056</v>
      </c>
    </row>
    <row r="302" spans="1:24"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5">
        <v>21427700000000</v>
      </c>
      <c r="R302">
        <v>78.5</v>
      </c>
      <c r="S302">
        <v>9.6</v>
      </c>
      <c r="T302">
        <v>36.6</v>
      </c>
      <c r="U302">
        <v>328239523</v>
      </c>
      <c r="V302">
        <f t="shared" ca="1" si="12"/>
        <v>81.291595197255575</v>
      </c>
      <c r="W302" s="3">
        <f t="shared" si="13"/>
        <v>16364</v>
      </c>
      <c r="X302" s="3">
        <f t="shared" ca="1" si="14"/>
        <v>46056</v>
      </c>
    </row>
    <row r="303" spans="1:24"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5">
        <v>421142267938</v>
      </c>
      <c r="R303">
        <v>77.8</v>
      </c>
      <c r="S303">
        <v>0.1</v>
      </c>
      <c r="T303">
        <v>15.9</v>
      </c>
      <c r="U303">
        <v>9770529</v>
      </c>
      <c r="V303">
        <f t="shared" ca="1" si="12"/>
        <v>44.472233795607401</v>
      </c>
      <c r="W303" s="3">
        <f t="shared" si="13"/>
        <v>29813</v>
      </c>
      <c r="X303" s="3">
        <f t="shared" ca="1" si="14"/>
        <v>46056</v>
      </c>
    </row>
    <row r="304" spans="1:24"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5">
        <v>5081769542380</v>
      </c>
      <c r="R304">
        <v>84.2</v>
      </c>
      <c r="S304">
        <v>11.9</v>
      </c>
      <c r="T304">
        <v>46.7</v>
      </c>
      <c r="U304">
        <v>126226568</v>
      </c>
      <c r="V304">
        <f t="shared" ca="1" si="12"/>
        <v>64.56533643076412</v>
      </c>
      <c r="W304" s="3">
        <f t="shared" si="13"/>
        <v>22474</v>
      </c>
      <c r="X304" s="3">
        <f t="shared" ca="1" si="14"/>
        <v>46056</v>
      </c>
    </row>
    <row r="305" spans="1:24"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5">
        <v>19910000000000</v>
      </c>
      <c r="R305">
        <v>77</v>
      </c>
      <c r="S305">
        <v>9.4</v>
      </c>
      <c r="T305">
        <v>59.2</v>
      </c>
      <c r="U305">
        <v>1397715000</v>
      </c>
      <c r="V305">
        <f t="shared" ca="1" si="12"/>
        <v>80.343572621035051</v>
      </c>
      <c r="W305" s="3">
        <f t="shared" si="13"/>
        <v>16711</v>
      </c>
      <c r="X305" s="3">
        <f t="shared" ca="1" si="14"/>
        <v>46056</v>
      </c>
    </row>
    <row r="306" spans="1:24"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5">
        <v>21427700000000</v>
      </c>
      <c r="R306">
        <v>78.5</v>
      </c>
      <c r="S306">
        <v>9.6</v>
      </c>
      <c r="T306">
        <v>36.6</v>
      </c>
      <c r="U306">
        <v>328239523</v>
      </c>
      <c r="V306">
        <f t="shared" ca="1" si="12"/>
        <v>82.510609171800141</v>
      </c>
      <c r="W306" s="3">
        <f t="shared" si="13"/>
        <v>15919</v>
      </c>
      <c r="X306" s="3">
        <f t="shared" ca="1" si="14"/>
        <v>46056</v>
      </c>
    </row>
    <row r="307" spans="1:24"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5">
        <v>446314739528</v>
      </c>
      <c r="R307">
        <v>81.599999999999994</v>
      </c>
      <c r="S307">
        <v>25.4</v>
      </c>
      <c r="T307">
        <v>51.4</v>
      </c>
      <c r="U307">
        <v>8877067</v>
      </c>
      <c r="V307">
        <f t="shared" ca="1" si="12"/>
        <v>79.08555783709788</v>
      </c>
      <c r="W307" s="3">
        <f t="shared" si="13"/>
        <v>17170</v>
      </c>
      <c r="X307" s="3">
        <f t="shared" ca="1" si="14"/>
        <v>46056</v>
      </c>
    </row>
    <row r="308" spans="1:24"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5">
        <v>21427700000000</v>
      </c>
      <c r="R308">
        <v>78.5</v>
      </c>
      <c r="S308">
        <v>9.6</v>
      </c>
      <c r="T308">
        <v>36.6</v>
      </c>
      <c r="U308">
        <v>328239523</v>
      </c>
      <c r="V308">
        <f t="shared" ca="1" si="12"/>
        <v>64.217622168754659</v>
      </c>
      <c r="W308" s="3">
        <f t="shared" si="13"/>
        <v>22601</v>
      </c>
      <c r="X308" s="3">
        <f t="shared" ca="1" si="14"/>
        <v>46056</v>
      </c>
    </row>
    <row r="309" spans="1:24"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5">
        <v>19910000000000</v>
      </c>
      <c r="R309">
        <v>77</v>
      </c>
      <c r="S309">
        <v>9.4</v>
      </c>
      <c r="T309">
        <v>59.2</v>
      </c>
      <c r="U309">
        <v>1397715000</v>
      </c>
      <c r="V309">
        <f t="shared" ca="1" si="12"/>
        <v>69.138279412331769</v>
      </c>
      <c r="W309" s="3">
        <f t="shared" si="13"/>
        <v>20803</v>
      </c>
      <c r="X309" s="3">
        <f t="shared" ca="1" si="14"/>
        <v>46056</v>
      </c>
    </row>
    <row r="310" spans="1:24"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5">
        <v>703082435360</v>
      </c>
      <c r="R310">
        <v>83.6</v>
      </c>
      <c r="S310">
        <v>10.1</v>
      </c>
      <c r="T310">
        <v>28.8</v>
      </c>
      <c r="U310">
        <v>8574832</v>
      </c>
      <c r="V310">
        <f t="shared" ca="1" si="12"/>
        <v>75.264187171099408</v>
      </c>
      <c r="W310" s="3">
        <f t="shared" si="13"/>
        <v>18566</v>
      </c>
      <c r="X310" s="3">
        <f t="shared" ca="1" si="14"/>
        <v>46056</v>
      </c>
    </row>
    <row r="311" spans="1:24"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5">
        <v>372062527489</v>
      </c>
      <c r="R311">
        <v>83.1</v>
      </c>
      <c r="S311">
        <v>13.1</v>
      </c>
      <c r="T311">
        <v>21</v>
      </c>
      <c r="U311">
        <v>5703569</v>
      </c>
      <c r="V311">
        <f t="shared" ca="1" si="12"/>
        <v>97.066379840196674</v>
      </c>
      <c r="W311" s="3">
        <f t="shared" si="13"/>
        <v>10603</v>
      </c>
      <c r="X311" s="3">
        <f t="shared" ca="1" si="14"/>
        <v>46056</v>
      </c>
    </row>
    <row r="312" spans="1:24"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5">
        <v>19910000000000</v>
      </c>
      <c r="R312">
        <v>77</v>
      </c>
      <c r="S312">
        <v>9.4</v>
      </c>
      <c r="T312">
        <v>59.2</v>
      </c>
      <c r="U312">
        <v>1397715000</v>
      </c>
      <c r="V312">
        <f t="shared" ca="1" si="12"/>
        <v>74.091041833978238</v>
      </c>
      <c r="W312" s="3">
        <f t="shared" si="13"/>
        <v>18994</v>
      </c>
      <c r="X312" s="3">
        <f t="shared" ca="1" si="14"/>
        <v>46056</v>
      </c>
    </row>
    <row r="313" spans="1:24"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5">
        <v>21427700000000</v>
      </c>
      <c r="R313">
        <v>78.5</v>
      </c>
      <c r="S313">
        <v>9.6</v>
      </c>
      <c r="T313">
        <v>36.6</v>
      </c>
      <c r="U313">
        <v>328239523</v>
      </c>
      <c r="V313">
        <f t="shared" ca="1" si="12"/>
        <v>61.357307374733821</v>
      </c>
      <c r="W313" s="3">
        <f t="shared" si="13"/>
        <v>23645</v>
      </c>
      <c r="X313" s="3">
        <f t="shared" ca="1" si="14"/>
        <v>46056</v>
      </c>
    </row>
    <row r="314" spans="1:24"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5">
        <v>2827113184696</v>
      </c>
      <c r="R314">
        <v>81.3</v>
      </c>
      <c r="S314">
        <v>25.5</v>
      </c>
      <c r="T314">
        <v>30.6</v>
      </c>
      <c r="U314">
        <v>66834405</v>
      </c>
      <c r="V314">
        <f t="shared" ca="1" si="12"/>
        <v>40.691264667535854</v>
      </c>
      <c r="W314" s="3">
        <f t="shared" si="13"/>
        <v>31194</v>
      </c>
      <c r="X314" s="3">
        <f t="shared" ca="1" si="14"/>
        <v>46056</v>
      </c>
    </row>
    <row r="315" spans="1:24"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5">
        <v>2827113184696</v>
      </c>
      <c r="R315">
        <v>81.3</v>
      </c>
      <c r="S315">
        <v>25.5</v>
      </c>
      <c r="T315">
        <v>30.6</v>
      </c>
      <c r="U315">
        <v>66834405</v>
      </c>
      <c r="V315">
        <f t="shared" ca="1" si="12"/>
        <v>43.852823071306887</v>
      </c>
      <c r="W315" s="3">
        <f t="shared" si="13"/>
        <v>30039</v>
      </c>
      <c r="X315" s="3">
        <f t="shared" ca="1" si="14"/>
        <v>46056</v>
      </c>
    </row>
    <row r="316" spans="1:24"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5">
        <v>21427700000000</v>
      </c>
      <c r="R316">
        <v>78.5</v>
      </c>
      <c r="S316">
        <v>9.6</v>
      </c>
      <c r="T316">
        <v>36.6</v>
      </c>
      <c r="U316">
        <v>328239523</v>
      </c>
      <c r="V316">
        <f t="shared" ca="1" si="12"/>
        <v>80.535225375626041</v>
      </c>
      <c r="W316" s="3">
        <f t="shared" si="13"/>
        <v>16641</v>
      </c>
      <c r="X316" s="3">
        <f t="shared" ca="1" si="14"/>
        <v>46056</v>
      </c>
    </row>
    <row r="317" spans="1:24"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5">
        <v>2611000000000</v>
      </c>
      <c r="R317">
        <v>69.400000000000006</v>
      </c>
      <c r="S317">
        <v>11.2</v>
      </c>
      <c r="T317">
        <v>49.7</v>
      </c>
      <c r="U317">
        <v>1366417754</v>
      </c>
      <c r="V317">
        <f t="shared" ca="1" si="12"/>
        <v>83.280615860336269</v>
      </c>
      <c r="W317" s="3">
        <f t="shared" si="13"/>
        <v>15638</v>
      </c>
      <c r="X317" s="3">
        <f t="shared" ca="1" si="14"/>
        <v>46056</v>
      </c>
    </row>
    <row r="318" spans="1:24"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5">
        <v>21427700000000</v>
      </c>
      <c r="R318">
        <v>78.5</v>
      </c>
      <c r="S318">
        <v>9.6</v>
      </c>
      <c r="T318">
        <v>36.6</v>
      </c>
      <c r="U318">
        <v>328239523</v>
      </c>
      <c r="V318">
        <f t="shared" ca="1" si="12"/>
        <v>86.308008213552355</v>
      </c>
      <c r="W318" s="3">
        <f t="shared" si="13"/>
        <v>14532</v>
      </c>
      <c r="X318" s="3">
        <f t="shared" ca="1" si="14"/>
        <v>46056</v>
      </c>
    </row>
    <row r="319" spans="1:24"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5">
        <v>2611000000000</v>
      </c>
      <c r="R319">
        <v>69.400000000000006</v>
      </c>
      <c r="S319">
        <v>11.2</v>
      </c>
      <c r="T319">
        <v>49.7</v>
      </c>
      <c r="U319">
        <v>1366417754</v>
      </c>
      <c r="V319">
        <f t="shared" ca="1" si="12"/>
        <v>58.663928815879537</v>
      </c>
      <c r="W319" s="3">
        <f t="shared" si="13"/>
        <v>24629</v>
      </c>
      <c r="X319" s="3">
        <f t="shared" ca="1" si="14"/>
        <v>46056</v>
      </c>
    </row>
    <row r="320" spans="1:24"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5">
        <v>2611000000000</v>
      </c>
      <c r="R320">
        <v>69.400000000000006</v>
      </c>
      <c r="S320">
        <v>11.2</v>
      </c>
      <c r="T320">
        <v>49.7</v>
      </c>
      <c r="U320">
        <v>1366417754</v>
      </c>
      <c r="V320">
        <f t="shared" ca="1" si="12"/>
        <v>61.409325974533921</v>
      </c>
      <c r="W320" s="3">
        <f t="shared" si="13"/>
        <v>23626</v>
      </c>
      <c r="X320" s="3">
        <f t="shared" ca="1" si="14"/>
        <v>46056</v>
      </c>
    </row>
    <row r="321" spans="1:24"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5">
        <v>21427700000000</v>
      </c>
      <c r="R321">
        <v>78.5</v>
      </c>
      <c r="S321">
        <v>9.6</v>
      </c>
      <c r="T321">
        <v>36.6</v>
      </c>
      <c r="U321">
        <v>328239523</v>
      </c>
      <c r="V321">
        <f t="shared" ca="1" si="12"/>
        <v>72.099896403729474</v>
      </c>
      <c r="W321" s="3">
        <f t="shared" si="13"/>
        <v>19722</v>
      </c>
      <c r="X321" s="3">
        <f t="shared" ca="1" si="14"/>
        <v>46056</v>
      </c>
    </row>
    <row r="322" spans="1:24"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5">
        <v>21427700000000</v>
      </c>
      <c r="R322">
        <v>78.5</v>
      </c>
      <c r="S322">
        <v>9.6</v>
      </c>
      <c r="T322">
        <v>36.6</v>
      </c>
      <c r="U322">
        <v>328239523</v>
      </c>
      <c r="V322">
        <f t="shared" ref="V322:V385" ca="1" si="15">YEARFRAC(W322,X322,1)</f>
        <v>70.384668035592057</v>
      </c>
      <c r="W322" s="3">
        <f t="shared" si="13"/>
        <v>20348</v>
      </c>
      <c r="X322" s="3">
        <f t="shared" ca="1" si="14"/>
        <v>46056</v>
      </c>
    </row>
    <row r="323" spans="1:24"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5">
        <v>21427700000000</v>
      </c>
      <c r="R323">
        <v>78.5</v>
      </c>
      <c r="S323">
        <v>9.6</v>
      </c>
      <c r="T323">
        <v>36.6</v>
      </c>
      <c r="U323">
        <v>328239523</v>
      </c>
      <c r="V323">
        <f t="shared" ca="1" si="15"/>
        <v>73.937723589107108</v>
      </c>
      <c r="W323" s="3">
        <f t="shared" ref="W323:W386" si="16">DATE(M323,N323,O323)</f>
        <v>19050</v>
      </c>
      <c r="X323" s="3">
        <f t="shared" ref="X323:X386" ca="1" si="17">TODAY()</f>
        <v>46056</v>
      </c>
    </row>
    <row r="324" spans="1:24"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5">
        <v>21427700000000</v>
      </c>
      <c r="R324">
        <v>78.5</v>
      </c>
      <c r="S324">
        <v>9.6</v>
      </c>
      <c r="T324">
        <v>36.6</v>
      </c>
      <c r="U324">
        <v>328239523</v>
      </c>
      <c r="V324">
        <f t="shared" ca="1" si="15"/>
        <v>90.091040375473852</v>
      </c>
      <c r="W324" s="3">
        <f t="shared" si="16"/>
        <v>13150</v>
      </c>
      <c r="X324" s="3">
        <f t="shared" ca="1" si="17"/>
        <v>46056</v>
      </c>
    </row>
    <row r="325" spans="1:24"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5">
        <v>21427700000000</v>
      </c>
      <c r="R325">
        <v>78.5</v>
      </c>
      <c r="S325">
        <v>9.6</v>
      </c>
      <c r="T325">
        <v>36.6</v>
      </c>
      <c r="U325">
        <v>328239523</v>
      </c>
      <c r="V325">
        <f t="shared" ca="1" si="15"/>
        <v>92.091026848798876</v>
      </c>
      <c r="W325" s="3">
        <f t="shared" si="16"/>
        <v>12420</v>
      </c>
      <c r="X325" s="3">
        <f t="shared" ca="1" si="17"/>
        <v>46056</v>
      </c>
    </row>
    <row r="326" spans="1:24"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5">
        <v>21427700000000</v>
      </c>
      <c r="R326">
        <v>78.5</v>
      </c>
      <c r="S326">
        <v>9.6</v>
      </c>
      <c r="T326">
        <v>36.6</v>
      </c>
      <c r="U326">
        <v>328239523</v>
      </c>
      <c r="V326">
        <f t="shared" ca="1" si="15"/>
        <v>58.384668035592057</v>
      </c>
      <c r="W326" s="3">
        <f t="shared" si="16"/>
        <v>24731</v>
      </c>
      <c r="X326" s="3">
        <f t="shared" ca="1" si="17"/>
        <v>46056</v>
      </c>
    </row>
    <row r="327" spans="1:24"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5">
        <v>19910000000000</v>
      </c>
      <c r="R327">
        <v>77</v>
      </c>
      <c r="S327">
        <v>9.4</v>
      </c>
      <c r="T327">
        <v>59.2</v>
      </c>
      <c r="U327">
        <v>1397715000</v>
      </c>
      <c r="V327">
        <f t="shared" ca="1" si="15"/>
        <v>61.365520837860153</v>
      </c>
      <c r="W327" s="3">
        <f t="shared" si="16"/>
        <v>23642</v>
      </c>
      <c r="X327" s="3">
        <f t="shared" ca="1" si="17"/>
        <v>46056</v>
      </c>
    </row>
    <row r="328" spans="1:24"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5">
        <v>21427700000000</v>
      </c>
      <c r="R328">
        <v>78.5</v>
      </c>
      <c r="S328">
        <v>9.6</v>
      </c>
      <c r="T328">
        <v>36.6</v>
      </c>
      <c r="U328">
        <v>328239523</v>
      </c>
      <c r="V328">
        <f t="shared" ca="1" si="15"/>
        <v>83.373703536687501</v>
      </c>
      <c r="W328" s="3">
        <f t="shared" si="16"/>
        <v>15604</v>
      </c>
      <c r="X328" s="3">
        <f t="shared" ca="1" si="17"/>
        <v>46056</v>
      </c>
    </row>
    <row r="329" spans="1:24"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5">
        <v>1394116310769</v>
      </c>
      <c r="R329">
        <v>83.3</v>
      </c>
      <c r="S329">
        <v>14.2</v>
      </c>
      <c r="T329">
        <v>47</v>
      </c>
      <c r="U329">
        <v>47076781</v>
      </c>
      <c r="V329">
        <f t="shared" ca="1" si="15"/>
        <v>57.570858468677493</v>
      </c>
      <c r="W329" s="3">
        <f t="shared" si="16"/>
        <v>25028</v>
      </c>
      <c r="X329" s="3">
        <f t="shared" ca="1" si="17"/>
        <v>46056</v>
      </c>
    </row>
    <row r="330" spans="1:24"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5">
        <v>21427700000000</v>
      </c>
      <c r="R330">
        <v>78.5</v>
      </c>
      <c r="S330">
        <v>9.6</v>
      </c>
      <c r="T330">
        <v>36.6</v>
      </c>
      <c r="U330">
        <v>328239523</v>
      </c>
      <c r="V330">
        <f t="shared" ca="1" si="15"/>
        <v>71.762479840978131</v>
      </c>
      <c r="W330" s="3">
        <f t="shared" si="16"/>
        <v>19845</v>
      </c>
      <c r="X330" s="3">
        <f t="shared" ca="1" si="17"/>
        <v>46056</v>
      </c>
    </row>
    <row r="331" spans="1:24"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5">
        <v>21427700000000</v>
      </c>
      <c r="R331">
        <v>78.5</v>
      </c>
      <c r="S331">
        <v>9.6</v>
      </c>
      <c r="T331">
        <v>36.6</v>
      </c>
      <c r="U331">
        <v>328239523</v>
      </c>
      <c r="V331">
        <f t="shared" ca="1" si="15"/>
        <v>61.904871583155881</v>
      </c>
      <c r="W331" s="3">
        <f t="shared" si="16"/>
        <v>23445</v>
      </c>
      <c r="X331" s="3">
        <f t="shared" ca="1" si="17"/>
        <v>46056</v>
      </c>
    </row>
    <row r="332" spans="1:24"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5">
        <v>2001244392042</v>
      </c>
      <c r="R332">
        <v>82.9</v>
      </c>
      <c r="S332">
        <v>24.3</v>
      </c>
      <c r="T332">
        <v>59.1</v>
      </c>
      <c r="U332">
        <v>60297396</v>
      </c>
      <c r="V332">
        <f t="shared" ca="1" si="15"/>
        <v>89.346350562609061</v>
      </c>
      <c r="W332" s="3">
        <f t="shared" si="16"/>
        <v>13422</v>
      </c>
      <c r="X332" s="3">
        <f t="shared" ca="1" si="17"/>
        <v>46056</v>
      </c>
    </row>
    <row r="333" spans="1:24"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5">
        <v>2827113184696</v>
      </c>
      <c r="R333">
        <v>81.3</v>
      </c>
      <c r="S333">
        <v>25.5</v>
      </c>
      <c r="T333">
        <v>30.6</v>
      </c>
      <c r="U333">
        <v>66834405</v>
      </c>
      <c r="V333">
        <f t="shared" ca="1" si="15"/>
        <v>58.357289527720738</v>
      </c>
      <c r="W333" s="3">
        <f t="shared" si="16"/>
        <v>24741</v>
      </c>
      <c r="X333" s="3">
        <f t="shared" ca="1" si="17"/>
        <v>46056</v>
      </c>
    </row>
    <row r="334" spans="1:24"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5">
        <v>21427700000000</v>
      </c>
      <c r="R334">
        <v>78.5</v>
      </c>
      <c r="S334">
        <v>9.6</v>
      </c>
      <c r="T334">
        <v>36.6</v>
      </c>
      <c r="U334">
        <v>328239523</v>
      </c>
      <c r="V334">
        <f t="shared" ca="1" si="15"/>
        <v>43.258700413725961</v>
      </c>
      <c r="W334" s="3">
        <f t="shared" si="16"/>
        <v>30256</v>
      </c>
      <c r="X334" s="3">
        <f t="shared" ca="1" si="17"/>
        <v>46056</v>
      </c>
    </row>
    <row r="335" spans="1:24"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5">
        <v>21427700000000</v>
      </c>
      <c r="R335">
        <v>78.5</v>
      </c>
      <c r="S335">
        <v>9.6</v>
      </c>
      <c r="T335">
        <v>36.6</v>
      </c>
      <c r="U335">
        <v>328239523</v>
      </c>
      <c r="V335">
        <f t="shared" ca="1" si="15"/>
        <v>56.48045694864048</v>
      </c>
      <c r="W335" s="3">
        <f t="shared" si="16"/>
        <v>25427</v>
      </c>
      <c r="X335" s="3">
        <f t="shared" ca="1" si="17"/>
        <v>46056</v>
      </c>
    </row>
    <row r="336" spans="1:24"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5">
        <v>21427700000000</v>
      </c>
      <c r="R336">
        <v>78.5</v>
      </c>
      <c r="S336">
        <v>9.6</v>
      </c>
      <c r="T336">
        <v>36.6</v>
      </c>
      <c r="U336">
        <v>328239523</v>
      </c>
      <c r="V336">
        <f t="shared" ca="1" si="15"/>
        <v>61.209465038459868</v>
      </c>
      <c r="W336" s="3">
        <f t="shared" si="16"/>
        <v>23699</v>
      </c>
      <c r="X336" s="3">
        <f t="shared" ca="1" si="17"/>
        <v>46056</v>
      </c>
    </row>
    <row r="337" spans="1:24"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5">
        <v>21427700000000</v>
      </c>
      <c r="R337">
        <v>78.5</v>
      </c>
      <c r="S337">
        <v>9.6</v>
      </c>
      <c r="T337">
        <v>36.6</v>
      </c>
      <c r="U337">
        <v>328239523</v>
      </c>
      <c r="V337">
        <f t="shared" ca="1" si="15"/>
        <v>64.231311706629057</v>
      </c>
      <c r="W337" s="3">
        <f t="shared" si="16"/>
        <v>22596</v>
      </c>
      <c r="X337" s="3">
        <f t="shared" ca="1" si="17"/>
        <v>46056</v>
      </c>
    </row>
    <row r="338" spans="1:24"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5">
        <v>21427700000000</v>
      </c>
      <c r="R338">
        <v>78.5</v>
      </c>
      <c r="S338">
        <v>9.6</v>
      </c>
      <c r="T338">
        <v>36.6</v>
      </c>
      <c r="U338">
        <v>328239523</v>
      </c>
      <c r="V338">
        <f t="shared" ca="1" si="15"/>
        <v>97.085545063418451</v>
      </c>
      <c r="W338" s="3">
        <f t="shared" si="16"/>
        <v>10596</v>
      </c>
      <c r="X338" s="3">
        <f t="shared" ca="1" si="17"/>
        <v>46056</v>
      </c>
    </row>
    <row r="339" spans="1:24"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5">
        <v>21427700000000</v>
      </c>
      <c r="R339">
        <v>78.5</v>
      </c>
      <c r="S339">
        <v>9.6</v>
      </c>
      <c r="T339">
        <v>36.6</v>
      </c>
      <c r="U339">
        <v>328239523</v>
      </c>
      <c r="V339">
        <f t="shared" ca="1" si="15"/>
        <v>56.121790030211478</v>
      </c>
      <c r="W339" s="3">
        <f t="shared" si="16"/>
        <v>25558</v>
      </c>
      <c r="X339" s="3">
        <f t="shared" ca="1" si="17"/>
        <v>46056</v>
      </c>
    </row>
    <row r="340" spans="1:24"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5">
        <v>21427700000000</v>
      </c>
      <c r="R340">
        <v>78.5</v>
      </c>
      <c r="S340">
        <v>9.6</v>
      </c>
      <c r="T340">
        <v>36.6</v>
      </c>
      <c r="U340">
        <v>328239523</v>
      </c>
      <c r="V340">
        <f t="shared" ca="1" si="15"/>
        <v>64.557122708039486</v>
      </c>
      <c r="W340" s="3">
        <f t="shared" si="16"/>
        <v>22477</v>
      </c>
      <c r="X340" s="3">
        <f t="shared" ca="1" si="17"/>
        <v>46056</v>
      </c>
    </row>
    <row r="341" spans="1:24"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5">
        <v>1699876578871</v>
      </c>
      <c r="R341">
        <v>72.7</v>
      </c>
      <c r="S341">
        <v>11.4</v>
      </c>
      <c r="T341">
        <v>46.2</v>
      </c>
      <c r="U341">
        <v>144373535</v>
      </c>
      <c r="V341">
        <f t="shared" ca="1" si="15"/>
        <v>68.809011616536949</v>
      </c>
      <c r="W341" s="3">
        <f t="shared" si="16"/>
        <v>20924</v>
      </c>
      <c r="X341" s="3">
        <f t="shared" ca="1" si="17"/>
        <v>46056</v>
      </c>
    </row>
    <row r="342" spans="1:24"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5">
        <v>19910000000000</v>
      </c>
      <c r="R342">
        <v>77</v>
      </c>
      <c r="S342">
        <v>9.4</v>
      </c>
      <c r="T342">
        <v>59.2</v>
      </c>
      <c r="U342">
        <v>1397715000</v>
      </c>
      <c r="V342">
        <f t="shared" ca="1" si="15"/>
        <v>61.138281691365002</v>
      </c>
      <c r="W342" s="3">
        <f t="shared" si="16"/>
        <v>23725</v>
      </c>
      <c r="X342" s="3">
        <f t="shared" ca="1" si="17"/>
        <v>46056</v>
      </c>
    </row>
    <row r="343" spans="1:24"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5">
        <v>21427700000000</v>
      </c>
      <c r="R343">
        <v>78.5</v>
      </c>
      <c r="S343">
        <v>9.6</v>
      </c>
      <c r="T343">
        <v>36.6</v>
      </c>
      <c r="U343">
        <v>328239523</v>
      </c>
      <c r="V343">
        <f t="shared" ca="1" si="15"/>
        <v>64.436654774744881</v>
      </c>
      <c r="W343" s="3">
        <f t="shared" si="16"/>
        <v>22521</v>
      </c>
      <c r="X343" s="3">
        <f t="shared" ca="1" si="17"/>
        <v>46056</v>
      </c>
    </row>
    <row r="344" spans="1:24"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5">
        <v>21427700000000</v>
      </c>
      <c r="R344">
        <v>78.5</v>
      </c>
      <c r="S344">
        <v>9.6</v>
      </c>
      <c r="T344">
        <v>36.6</v>
      </c>
      <c r="U344">
        <v>328239523</v>
      </c>
      <c r="V344">
        <f t="shared" ca="1" si="15"/>
        <v>75.182050917365942</v>
      </c>
      <c r="W344" s="3">
        <f t="shared" si="16"/>
        <v>18596</v>
      </c>
      <c r="X344" s="3">
        <f t="shared" ca="1" si="17"/>
        <v>46056</v>
      </c>
    </row>
    <row r="345" spans="1:24"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5">
        <v>2827113184696</v>
      </c>
      <c r="R345">
        <v>81.3</v>
      </c>
      <c r="S345">
        <v>25.5</v>
      </c>
      <c r="T345">
        <v>30.6</v>
      </c>
      <c r="U345">
        <v>66834405</v>
      </c>
      <c r="V345">
        <f t="shared" ca="1" si="15"/>
        <v>59.272396768402153</v>
      </c>
      <c r="W345" s="3">
        <f t="shared" si="16"/>
        <v>24407</v>
      </c>
      <c r="X345" s="3">
        <f t="shared" ca="1" si="17"/>
        <v>46056</v>
      </c>
    </row>
    <row r="346" spans="1:24"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5">
        <v>348078018464</v>
      </c>
      <c r="R346">
        <v>81</v>
      </c>
      <c r="S346">
        <v>32.4</v>
      </c>
      <c r="T346">
        <v>23.8</v>
      </c>
      <c r="U346">
        <v>5818553</v>
      </c>
      <c r="V346">
        <f t="shared" ca="1" si="15"/>
        <v>78.105407255304584</v>
      </c>
      <c r="W346" s="3">
        <f t="shared" si="16"/>
        <v>17528</v>
      </c>
      <c r="X346" s="3">
        <f t="shared" ca="1" si="17"/>
        <v>46056</v>
      </c>
    </row>
    <row r="347" spans="1:24"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5">
        <v>348078018464</v>
      </c>
      <c r="R347">
        <v>81</v>
      </c>
      <c r="S347">
        <v>32.4</v>
      </c>
      <c r="T347">
        <v>23.8</v>
      </c>
      <c r="U347">
        <v>5818553</v>
      </c>
      <c r="V347">
        <f t="shared" ca="1" si="15"/>
        <v>50.091045737599316</v>
      </c>
      <c r="W347" s="3">
        <f t="shared" si="16"/>
        <v>27760</v>
      </c>
      <c r="X347" s="3">
        <f t="shared" ca="1" si="17"/>
        <v>46056</v>
      </c>
    </row>
    <row r="348" spans="1:24"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5">
        <v>348078018464</v>
      </c>
      <c r="R348">
        <v>81</v>
      </c>
      <c r="S348">
        <v>32.4</v>
      </c>
      <c r="T348">
        <v>23.8</v>
      </c>
      <c r="U348">
        <v>5818553</v>
      </c>
      <c r="V348">
        <f t="shared" ca="1" si="15"/>
        <v>47.091033538672143</v>
      </c>
      <c r="W348" s="3">
        <f t="shared" si="16"/>
        <v>28856</v>
      </c>
      <c r="X348" s="3">
        <f t="shared" ca="1" si="17"/>
        <v>46056</v>
      </c>
    </row>
    <row r="349" spans="1:24"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5">
        <v>2001244392042</v>
      </c>
      <c r="R349">
        <v>82.9</v>
      </c>
      <c r="S349">
        <v>24.3</v>
      </c>
      <c r="T349">
        <v>59.1</v>
      </c>
      <c r="U349">
        <v>60297396</v>
      </c>
      <c r="V349">
        <f t="shared" ca="1" si="15"/>
        <v>83.091033538672136</v>
      </c>
      <c r="W349" s="3">
        <f t="shared" si="16"/>
        <v>15707</v>
      </c>
      <c r="X349" s="3">
        <f t="shared" ca="1" si="17"/>
        <v>46056</v>
      </c>
    </row>
    <row r="350" spans="1:24"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5">
        <v>19910000000000</v>
      </c>
      <c r="R350">
        <v>77</v>
      </c>
      <c r="S350">
        <v>9.4</v>
      </c>
      <c r="T350">
        <v>59.2</v>
      </c>
      <c r="U350">
        <v>1397715000</v>
      </c>
      <c r="V350">
        <f t="shared" ca="1" si="15"/>
        <v>58.091044083526683</v>
      </c>
      <c r="W350" s="3">
        <f t="shared" si="16"/>
        <v>24838</v>
      </c>
      <c r="X350" s="3">
        <f t="shared" ca="1" si="17"/>
        <v>46056</v>
      </c>
    </row>
    <row r="351" spans="1:24"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5">
        <v>19910000000000</v>
      </c>
      <c r="R351">
        <v>77</v>
      </c>
      <c r="S351">
        <v>9.4</v>
      </c>
      <c r="T351">
        <v>59.2</v>
      </c>
      <c r="U351">
        <v>1397715000</v>
      </c>
      <c r="V351">
        <f t="shared" ca="1" si="15"/>
        <v>63.510593488058632</v>
      </c>
      <c r="W351" s="3">
        <f t="shared" si="16"/>
        <v>22859</v>
      </c>
      <c r="X351" s="3">
        <f t="shared" ca="1" si="17"/>
        <v>46056</v>
      </c>
    </row>
    <row r="352" spans="1:24"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5">
        <v>703082435360</v>
      </c>
      <c r="R352">
        <v>83.6</v>
      </c>
      <c r="S352">
        <v>10.1</v>
      </c>
      <c r="T352">
        <v>28.8</v>
      </c>
      <c r="U352">
        <v>8574832</v>
      </c>
      <c r="V352">
        <f t="shared" ca="1" si="15"/>
        <v>57.091012084592144</v>
      </c>
      <c r="W352" s="3">
        <f t="shared" si="16"/>
        <v>25204</v>
      </c>
      <c r="X352" s="3">
        <f t="shared" ca="1" si="17"/>
        <v>46056</v>
      </c>
    </row>
    <row r="353" spans="1:24"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5">
        <v>2715518274227</v>
      </c>
      <c r="R353">
        <v>82.5</v>
      </c>
      <c r="S353">
        <v>24.2</v>
      </c>
      <c r="T353">
        <v>60.7</v>
      </c>
      <c r="U353">
        <v>67059887</v>
      </c>
      <c r="V353">
        <f t="shared" ca="1" si="15"/>
        <v>58.444900752908964</v>
      </c>
      <c r="W353" s="3">
        <f t="shared" si="16"/>
        <v>24709</v>
      </c>
      <c r="X353" s="3">
        <f t="shared" ca="1" si="17"/>
        <v>46056</v>
      </c>
    </row>
    <row r="354" spans="1:24"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5">
        <v>21427700000000</v>
      </c>
      <c r="R354">
        <v>78.5</v>
      </c>
      <c r="S354">
        <v>9.6</v>
      </c>
      <c r="T354">
        <v>36.6</v>
      </c>
      <c r="U354">
        <v>328239523</v>
      </c>
      <c r="V354">
        <f t="shared" ca="1" si="15"/>
        <v>74.858316221765918</v>
      </c>
      <c r="W354" s="3">
        <f t="shared" si="16"/>
        <v>18714</v>
      </c>
      <c r="X354" s="3">
        <f t="shared" ca="1" si="17"/>
        <v>46056</v>
      </c>
    </row>
    <row r="355" spans="1:24"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5">
        <v>21427700000000</v>
      </c>
      <c r="R355">
        <v>78.5</v>
      </c>
      <c r="S355">
        <v>9.6</v>
      </c>
      <c r="T355">
        <v>36.6</v>
      </c>
      <c r="U355">
        <v>328239523</v>
      </c>
      <c r="V355">
        <f t="shared" ca="1" si="15"/>
        <v>87.11086842833852</v>
      </c>
      <c r="W355" s="3">
        <f t="shared" si="16"/>
        <v>14239</v>
      </c>
      <c r="X355" s="3">
        <f t="shared" ca="1" si="17"/>
        <v>46056</v>
      </c>
    </row>
    <row r="356" spans="1:24"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5">
        <v>21427700000000</v>
      </c>
      <c r="R356">
        <v>78.5</v>
      </c>
      <c r="S356">
        <v>9.6</v>
      </c>
      <c r="T356">
        <v>36.6</v>
      </c>
      <c r="U356">
        <v>328239523</v>
      </c>
      <c r="V356">
        <f t="shared" ca="1" si="15"/>
        <v>86.702258726899387</v>
      </c>
      <c r="W356" s="3">
        <f t="shared" si="16"/>
        <v>14388</v>
      </c>
      <c r="X356" s="3">
        <f t="shared" ca="1" si="17"/>
        <v>46056</v>
      </c>
    </row>
    <row r="357" spans="1:24"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5">
        <v>21427700000000</v>
      </c>
      <c r="R357">
        <v>78.5</v>
      </c>
      <c r="S357">
        <v>9.6</v>
      </c>
      <c r="T357">
        <v>36.6</v>
      </c>
      <c r="U357">
        <v>328239523</v>
      </c>
      <c r="V357">
        <f t="shared" ca="1" si="15"/>
        <v>95.480482090942445</v>
      </c>
      <c r="W357" s="3">
        <f t="shared" si="16"/>
        <v>11182</v>
      </c>
      <c r="X357" s="3">
        <f t="shared" ca="1" si="17"/>
        <v>46056</v>
      </c>
    </row>
    <row r="358" spans="1:24"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5">
        <v>21427700000000</v>
      </c>
      <c r="R358">
        <v>78.5</v>
      </c>
      <c r="S358">
        <v>9.6</v>
      </c>
      <c r="T358">
        <v>36.6</v>
      </c>
      <c r="U358">
        <v>328239523</v>
      </c>
      <c r="V358">
        <f t="shared" ca="1" si="15"/>
        <v>74.313483915126625</v>
      </c>
      <c r="W358" s="3">
        <f t="shared" si="16"/>
        <v>18913</v>
      </c>
      <c r="X358" s="3">
        <f t="shared" ca="1" si="17"/>
        <v>46056</v>
      </c>
    </row>
    <row r="359" spans="1:24"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5">
        <v>348078018464</v>
      </c>
      <c r="R359">
        <v>81</v>
      </c>
      <c r="S359">
        <v>32.4</v>
      </c>
      <c r="T359">
        <v>23.8</v>
      </c>
      <c r="U359">
        <v>5818553</v>
      </c>
      <c r="V359">
        <f t="shared" ca="1" si="15"/>
        <v>42.715947980835047</v>
      </c>
      <c r="W359" s="3">
        <f t="shared" si="16"/>
        <v>30454</v>
      </c>
      <c r="X359" s="3">
        <f t="shared" ca="1" si="17"/>
        <v>46056</v>
      </c>
    </row>
    <row r="360" spans="1:24"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5">
        <v>21427700000000</v>
      </c>
      <c r="R360">
        <v>78.5</v>
      </c>
      <c r="S360">
        <v>9.6</v>
      </c>
      <c r="T360">
        <v>36.6</v>
      </c>
      <c r="U360">
        <v>328239523</v>
      </c>
      <c r="V360">
        <f t="shared" ca="1" si="15"/>
        <v>84.480468625640697</v>
      </c>
      <c r="W360" s="3">
        <f t="shared" si="16"/>
        <v>15200</v>
      </c>
      <c r="X360" s="3">
        <f t="shared" ca="1" si="17"/>
        <v>46056</v>
      </c>
    </row>
    <row r="361" spans="1:24"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5">
        <v>19910000000000</v>
      </c>
      <c r="R361">
        <v>77</v>
      </c>
      <c r="S361">
        <v>9.4</v>
      </c>
      <c r="T361">
        <v>59.2</v>
      </c>
      <c r="U361">
        <v>1397715000</v>
      </c>
      <c r="V361">
        <f t="shared" ca="1" si="15"/>
        <v>68.091024521863346</v>
      </c>
      <c r="W361" s="3">
        <f t="shared" si="16"/>
        <v>21186</v>
      </c>
      <c r="X361" s="3">
        <f t="shared" ca="1" si="17"/>
        <v>46056</v>
      </c>
    </row>
    <row r="362" spans="1:24"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5">
        <v>703082435360</v>
      </c>
      <c r="R362">
        <v>83.6</v>
      </c>
      <c r="S362">
        <v>10.1</v>
      </c>
      <c r="T362">
        <v>28.8</v>
      </c>
      <c r="U362">
        <v>8574832</v>
      </c>
      <c r="V362">
        <f t="shared" ca="1" si="15"/>
        <v>50.091045737599316</v>
      </c>
      <c r="W362" s="3">
        <f t="shared" si="16"/>
        <v>27760</v>
      </c>
      <c r="X362" s="3">
        <f t="shared" ca="1" si="17"/>
        <v>46056</v>
      </c>
    </row>
    <row r="363" spans="1:24"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5">
        <v>21427700000000</v>
      </c>
      <c r="R363">
        <v>78.5</v>
      </c>
      <c r="S363">
        <v>9.6</v>
      </c>
      <c r="T363">
        <v>36.6</v>
      </c>
      <c r="U363">
        <v>328239523</v>
      </c>
      <c r="V363">
        <f t="shared" ca="1" si="15"/>
        <v>71.787120729100252</v>
      </c>
      <c r="W363" s="3">
        <f t="shared" si="16"/>
        <v>19836</v>
      </c>
      <c r="X363" s="3">
        <f t="shared" ca="1" si="17"/>
        <v>46056</v>
      </c>
    </row>
    <row r="364" spans="1:24"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5">
        <v>21427700000000</v>
      </c>
      <c r="R364">
        <v>78.5</v>
      </c>
      <c r="S364">
        <v>9.6</v>
      </c>
      <c r="T364">
        <v>36.6</v>
      </c>
      <c r="U364">
        <v>328239523</v>
      </c>
      <c r="V364">
        <f t="shared" ca="1" si="15"/>
        <v>72.929480538700616</v>
      </c>
      <c r="W364" s="3">
        <f t="shared" si="16"/>
        <v>19419</v>
      </c>
      <c r="X364" s="3">
        <f t="shared" ca="1" si="17"/>
        <v>46056</v>
      </c>
    </row>
    <row r="365" spans="1:24"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5">
        <v>21427700000000</v>
      </c>
      <c r="R365">
        <v>78.5</v>
      </c>
      <c r="S365">
        <v>9.6</v>
      </c>
      <c r="T365">
        <v>36.6</v>
      </c>
      <c r="U365">
        <v>328239523</v>
      </c>
      <c r="V365">
        <f t="shared" ca="1" si="15"/>
        <v>70.132785763175903</v>
      </c>
      <c r="W365" s="3">
        <f t="shared" si="16"/>
        <v>20440</v>
      </c>
      <c r="X365" s="3">
        <f t="shared" ca="1" si="17"/>
        <v>46056</v>
      </c>
    </row>
    <row r="366" spans="1:24"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5">
        <v>21427700000000</v>
      </c>
      <c r="R366">
        <v>78.5</v>
      </c>
      <c r="S366">
        <v>9.6</v>
      </c>
      <c r="T366">
        <v>36.6</v>
      </c>
      <c r="U366">
        <v>328239523</v>
      </c>
      <c r="V366">
        <f t="shared" ca="1" si="15"/>
        <v>80.940434056761262</v>
      </c>
      <c r="W366" s="3">
        <f t="shared" si="16"/>
        <v>16493</v>
      </c>
      <c r="X366" s="3">
        <f t="shared" ca="1" si="17"/>
        <v>46056</v>
      </c>
    </row>
    <row r="367" spans="1:24"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5">
        <v>21427700000000</v>
      </c>
      <c r="R367">
        <v>78.5</v>
      </c>
      <c r="S367">
        <v>9.6</v>
      </c>
      <c r="T367">
        <v>36.6</v>
      </c>
      <c r="U367">
        <v>328239523</v>
      </c>
      <c r="V367">
        <f t="shared" ca="1" si="15"/>
        <v>66.32443531827515</v>
      </c>
      <c r="W367" s="3">
        <f t="shared" si="16"/>
        <v>21831</v>
      </c>
      <c r="X367" s="3">
        <f t="shared" ca="1" si="17"/>
        <v>46056</v>
      </c>
    </row>
    <row r="368" spans="1:24"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5">
        <v>3845630030824</v>
      </c>
      <c r="R368">
        <v>80.900000000000006</v>
      </c>
      <c r="S368">
        <v>11.5</v>
      </c>
      <c r="T368">
        <v>48.8</v>
      </c>
      <c r="U368">
        <v>83132799</v>
      </c>
      <c r="V368">
        <f t="shared" ca="1" si="15"/>
        <v>50.074618853339061</v>
      </c>
      <c r="W368" s="3">
        <f t="shared" si="16"/>
        <v>27766</v>
      </c>
      <c r="X368" s="3">
        <f t="shared" ca="1" si="17"/>
        <v>46056</v>
      </c>
    </row>
    <row r="369" spans="1:24"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5">
        <v>21427700000000</v>
      </c>
      <c r="R369">
        <v>78.5</v>
      </c>
      <c r="S369">
        <v>9.6</v>
      </c>
      <c r="T369">
        <v>36.6</v>
      </c>
      <c r="U369">
        <v>328239523</v>
      </c>
      <c r="V369">
        <f t="shared" ca="1" si="15"/>
        <v>83.187528183985052</v>
      </c>
      <c r="W369" s="3">
        <f t="shared" si="16"/>
        <v>15672</v>
      </c>
      <c r="X369" s="3">
        <f t="shared" ca="1" si="17"/>
        <v>46056</v>
      </c>
    </row>
    <row r="370" spans="1:24"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5">
        <v>21427700000000</v>
      </c>
      <c r="R370">
        <v>78.5</v>
      </c>
      <c r="S370">
        <v>9.6</v>
      </c>
      <c r="T370">
        <v>36.6</v>
      </c>
      <c r="U370">
        <v>328239523</v>
      </c>
      <c r="V370">
        <f t="shared" ca="1" si="15"/>
        <v>61.469558037460345</v>
      </c>
      <c r="W370" s="3">
        <f t="shared" si="16"/>
        <v>23604</v>
      </c>
      <c r="X370" s="3">
        <f t="shared" ca="1" si="17"/>
        <v>46056</v>
      </c>
    </row>
    <row r="371" spans="1:24"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5">
        <v>21427700000000</v>
      </c>
      <c r="R371">
        <v>78.5</v>
      </c>
      <c r="S371">
        <v>9.6</v>
      </c>
      <c r="T371">
        <v>36.6</v>
      </c>
      <c r="U371">
        <v>328239523</v>
      </c>
      <c r="V371">
        <f t="shared" ca="1" si="15"/>
        <v>95.934968528606504</v>
      </c>
      <c r="W371" s="3">
        <f t="shared" si="16"/>
        <v>11016</v>
      </c>
      <c r="X371" s="3">
        <f t="shared" ca="1" si="17"/>
        <v>46056</v>
      </c>
    </row>
    <row r="372" spans="1:24"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5">
        <v>2827113184696</v>
      </c>
      <c r="R372">
        <v>81.3</v>
      </c>
      <c r="S372">
        <v>25.5</v>
      </c>
      <c r="T372">
        <v>30.6</v>
      </c>
      <c r="U372">
        <v>66834405</v>
      </c>
      <c r="V372">
        <f t="shared" ca="1" si="15"/>
        <v>87.425723690282098</v>
      </c>
      <c r="W372" s="3">
        <f t="shared" si="16"/>
        <v>14124</v>
      </c>
      <c r="X372" s="3">
        <f t="shared" ca="1" si="17"/>
        <v>46056</v>
      </c>
    </row>
    <row r="373" spans="1:24"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5">
        <v>703082435360</v>
      </c>
      <c r="R373">
        <v>83.6</v>
      </c>
      <c r="S373">
        <v>10.1</v>
      </c>
      <c r="T373">
        <v>28.8</v>
      </c>
      <c r="U373">
        <v>8574832</v>
      </c>
      <c r="V373">
        <f t="shared" ca="1" si="15"/>
        <v>54.787132101300479</v>
      </c>
      <c r="W373" s="3">
        <f t="shared" si="16"/>
        <v>26045</v>
      </c>
      <c r="X373" s="3">
        <f t="shared" ca="1" si="17"/>
        <v>46056</v>
      </c>
    </row>
    <row r="374" spans="1:24"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5">
        <v>530832908738</v>
      </c>
      <c r="R374">
        <v>82.5</v>
      </c>
      <c r="S374">
        <v>27.9</v>
      </c>
      <c r="T374">
        <v>49.1</v>
      </c>
      <c r="U374">
        <v>10285453</v>
      </c>
      <c r="V374">
        <f t="shared" ca="1" si="15"/>
        <v>74.461327857631758</v>
      </c>
      <c r="W374" s="3">
        <f t="shared" si="16"/>
        <v>18859</v>
      </c>
      <c r="X374" s="3">
        <f t="shared" ca="1" si="17"/>
        <v>46056</v>
      </c>
    </row>
    <row r="375" spans="1:24"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5">
        <v>21427700000000</v>
      </c>
      <c r="R375">
        <v>78.5</v>
      </c>
      <c r="S375">
        <v>9.6</v>
      </c>
      <c r="T375">
        <v>36.6</v>
      </c>
      <c r="U375">
        <v>328239523</v>
      </c>
      <c r="V375">
        <f t="shared" ca="1" si="15"/>
        <v>65.817260542661003</v>
      </c>
      <c r="W375" s="3">
        <f t="shared" si="16"/>
        <v>22016</v>
      </c>
      <c r="X375" s="3">
        <f t="shared" ca="1" si="17"/>
        <v>46056</v>
      </c>
    </row>
    <row r="376" spans="1:24"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5">
        <v>21427700000000</v>
      </c>
      <c r="R376">
        <v>78.5</v>
      </c>
      <c r="S376">
        <v>9.6</v>
      </c>
      <c r="T376">
        <v>36.6</v>
      </c>
      <c r="U376">
        <v>328239523</v>
      </c>
      <c r="V376">
        <f t="shared" ca="1" si="15"/>
        <v>72.642000887968038</v>
      </c>
      <c r="W376" s="3">
        <f t="shared" si="16"/>
        <v>19524</v>
      </c>
      <c r="X376" s="3">
        <f t="shared" ca="1" si="17"/>
        <v>46056</v>
      </c>
    </row>
    <row r="377" spans="1:24"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5">
        <v>19910000000000</v>
      </c>
      <c r="R377">
        <v>77</v>
      </c>
      <c r="S377">
        <v>9.4</v>
      </c>
      <c r="T377">
        <v>59.2</v>
      </c>
      <c r="U377">
        <v>1397715000</v>
      </c>
      <c r="V377">
        <f t="shared" ca="1" si="15"/>
        <v>62.258726899383987</v>
      </c>
      <c r="W377" s="3">
        <f t="shared" si="16"/>
        <v>23316</v>
      </c>
      <c r="X377" s="3">
        <f t="shared" ca="1" si="17"/>
        <v>46056</v>
      </c>
    </row>
    <row r="378" spans="1:24"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5">
        <v>2715518274227</v>
      </c>
      <c r="R378">
        <v>82.5</v>
      </c>
      <c r="S378">
        <v>24.2</v>
      </c>
      <c r="T378">
        <v>60.7</v>
      </c>
      <c r="U378">
        <v>67059887</v>
      </c>
      <c r="V378">
        <f t="shared" ca="1" si="15"/>
        <v>63.305252516743188</v>
      </c>
      <c r="W378" s="3">
        <f t="shared" si="16"/>
        <v>22934</v>
      </c>
      <c r="X378" s="3">
        <f t="shared" ca="1" si="17"/>
        <v>46056</v>
      </c>
    </row>
    <row r="379" spans="1:24"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5">
        <v>323802808108</v>
      </c>
      <c r="R379">
        <v>77.099999999999994</v>
      </c>
      <c r="S379">
        <v>14.4</v>
      </c>
      <c r="T379">
        <v>71.2</v>
      </c>
      <c r="U379">
        <v>50339443</v>
      </c>
      <c r="V379">
        <f t="shared" ca="1" si="15"/>
        <v>93.019835144030523</v>
      </c>
      <c r="W379" s="3">
        <f t="shared" si="16"/>
        <v>12081</v>
      </c>
      <c r="X379" s="3">
        <f t="shared" ca="1" si="17"/>
        <v>46056</v>
      </c>
    </row>
    <row r="380" spans="1:24"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5">
        <v>21427700000000</v>
      </c>
      <c r="R380">
        <v>78.5</v>
      </c>
      <c r="S380">
        <v>9.6</v>
      </c>
      <c r="T380">
        <v>36.6</v>
      </c>
      <c r="U380">
        <v>328239523</v>
      </c>
      <c r="V380">
        <f t="shared" ca="1" si="15"/>
        <v>91.524287564766837</v>
      </c>
      <c r="W380" s="3">
        <f t="shared" si="16"/>
        <v>12627</v>
      </c>
      <c r="X380" s="3">
        <f t="shared" ca="1" si="17"/>
        <v>46056</v>
      </c>
    </row>
    <row r="381" spans="1:24"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5">
        <v>2827113184696</v>
      </c>
      <c r="R381">
        <v>81.3</v>
      </c>
      <c r="S381">
        <v>25.5</v>
      </c>
      <c r="T381">
        <v>30.6</v>
      </c>
      <c r="U381">
        <v>66834405</v>
      </c>
      <c r="V381">
        <f t="shared" ca="1" si="15"/>
        <v>80.283338898163606</v>
      </c>
      <c r="W381" s="3">
        <f t="shared" si="16"/>
        <v>16733</v>
      </c>
      <c r="X381" s="3">
        <f t="shared" ca="1" si="17"/>
        <v>46056</v>
      </c>
    </row>
    <row r="382" spans="1:24"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5">
        <v>19910000000000</v>
      </c>
      <c r="R382">
        <v>77</v>
      </c>
      <c r="S382">
        <v>9.4</v>
      </c>
      <c r="T382">
        <v>59.2</v>
      </c>
      <c r="U382">
        <v>1397715000</v>
      </c>
      <c r="V382">
        <f t="shared" ca="1" si="15"/>
        <v>61.091013468756898</v>
      </c>
      <c r="W382" s="3">
        <f t="shared" si="16"/>
        <v>23743</v>
      </c>
      <c r="X382" s="3">
        <f t="shared" ca="1" si="17"/>
        <v>46056</v>
      </c>
    </row>
    <row r="383" spans="1:24"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5">
        <v>2827113184696</v>
      </c>
      <c r="R383">
        <v>81.3</v>
      </c>
      <c r="S383">
        <v>25.5</v>
      </c>
      <c r="T383">
        <v>30.6</v>
      </c>
      <c r="U383">
        <v>66834405</v>
      </c>
      <c r="V383">
        <f t="shared" ca="1" si="15"/>
        <v>69.674892993483198</v>
      </c>
      <c r="W383" s="3">
        <f t="shared" si="16"/>
        <v>20607</v>
      </c>
      <c r="X383" s="3">
        <f t="shared" ca="1" si="17"/>
        <v>46056</v>
      </c>
    </row>
    <row r="384" spans="1:24"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5">
        <v>2715518274227</v>
      </c>
      <c r="R384">
        <v>82.5</v>
      </c>
      <c r="S384">
        <v>24.2</v>
      </c>
      <c r="T384">
        <v>60.7</v>
      </c>
      <c r="U384">
        <v>67059887</v>
      </c>
      <c r="V384">
        <f t="shared" ca="1" si="15"/>
        <v>88.091026548128099</v>
      </c>
      <c r="W384" s="3">
        <f t="shared" si="16"/>
        <v>13881</v>
      </c>
      <c r="X384" s="3">
        <f t="shared" ca="1" si="17"/>
        <v>46056</v>
      </c>
    </row>
    <row r="385" spans="1:24"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5">
        <v>19910000000000</v>
      </c>
      <c r="R385">
        <v>77</v>
      </c>
      <c r="S385">
        <v>9.4</v>
      </c>
      <c r="T385">
        <v>59.2</v>
      </c>
      <c r="U385">
        <v>1397715000</v>
      </c>
      <c r="V385">
        <f t="shared" ca="1" si="15"/>
        <v>61.89939594107166</v>
      </c>
      <c r="W385" s="3">
        <f t="shared" si="16"/>
        <v>23447</v>
      </c>
      <c r="X385" s="3">
        <f t="shared" ca="1" si="17"/>
        <v>46056</v>
      </c>
    </row>
    <row r="386" spans="1:24"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5">
        <v>395098666122</v>
      </c>
      <c r="R386">
        <v>82.8</v>
      </c>
      <c r="S386">
        <v>23.1</v>
      </c>
      <c r="T386">
        <v>25.3</v>
      </c>
      <c r="U386">
        <v>9053300</v>
      </c>
      <c r="V386">
        <f t="shared" ref="V386:V449" ca="1" si="18">YEARFRAC(W386,X386,1)</f>
        <v>99.554404987801561</v>
      </c>
      <c r="W386" s="3">
        <f t="shared" si="16"/>
        <v>9694</v>
      </c>
      <c r="X386" s="3">
        <f t="shared" ca="1" si="17"/>
        <v>46056</v>
      </c>
    </row>
    <row r="387" spans="1:24"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5">
        <v>1258286717125</v>
      </c>
      <c r="R387">
        <v>75</v>
      </c>
      <c r="S387">
        <v>13.1</v>
      </c>
      <c r="T387">
        <v>55.1</v>
      </c>
      <c r="U387">
        <v>126014024</v>
      </c>
      <c r="V387">
        <f t="shared" ca="1" si="18"/>
        <v>62.75975359342916</v>
      </c>
      <c r="W387" s="3">
        <f t="shared" ref="W387:W450" si="19">DATE(M387,N387,O387)</f>
        <v>23133</v>
      </c>
      <c r="X387" s="3">
        <f t="shared" ref="X387:X450" ca="1" si="20">TODAY()</f>
        <v>46056</v>
      </c>
    </row>
    <row r="388" spans="1:24"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5">
        <v>530832908738</v>
      </c>
      <c r="R388">
        <v>82.5</v>
      </c>
      <c r="S388">
        <v>27.9</v>
      </c>
      <c r="T388">
        <v>49.1</v>
      </c>
      <c r="U388">
        <v>10285453</v>
      </c>
      <c r="V388">
        <f t="shared" ca="1" si="18"/>
        <v>87.924016365705853</v>
      </c>
      <c r="W388" s="3">
        <f t="shared" si="19"/>
        <v>13942</v>
      </c>
      <c r="X388" s="3">
        <f t="shared" ca="1" si="20"/>
        <v>46056</v>
      </c>
    </row>
    <row r="389" spans="1:24"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5">
        <v>909070395161</v>
      </c>
      <c r="R389">
        <v>81.8</v>
      </c>
      <c r="S389">
        <v>23</v>
      </c>
      <c r="T389">
        <v>41.2</v>
      </c>
      <c r="U389">
        <v>17332850</v>
      </c>
      <c r="V389">
        <f t="shared" ca="1" si="18"/>
        <v>92.507849590772722</v>
      </c>
      <c r="W389" s="3">
        <f t="shared" si="19"/>
        <v>12268</v>
      </c>
      <c r="X389" s="3">
        <f t="shared" ca="1" si="20"/>
        <v>46056</v>
      </c>
    </row>
    <row r="390" spans="1:24"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5">
        <v>19910000000000</v>
      </c>
      <c r="R390">
        <v>77</v>
      </c>
      <c r="S390">
        <v>9.4</v>
      </c>
      <c r="T390">
        <v>59.2</v>
      </c>
      <c r="U390">
        <v>1397715000</v>
      </c>
      <c r="V390">
        <f t="shared" ca="1" si="18"/>
        <v>62.091043414019381</v>
      </c>
      <c r="W390" s="3">
        <f t="shared" si="19"/>
        <v>23377</v>
      </c>
      <c r="X390" s="3">
        <f t="shared" ca="1" si="20"/>
        <v>46056</v>
      </c>
    </row>
    <row r="391" spans="1:24"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5">
        <v>19910000000000</v>
      </c>
      <c r="R391">
        <v>77</v>
      </c>
      <c r="S391">
        <v>9.4</v>
      </c>
      <c r="T391">
        <v>59.2</v>
      </c>
      <c r="U391">
        <v>1397715000</v>
      </c>
      <c r="V391">
        <f t="shared" ca="1" si="18"/>
        <v>62.091043414019381</v>
      </c>
      <c r="W391" s="3">
        <f t="shared" si="19"/>
        <v>23377</v>
      </c>
      <c r="X391" s="3">
        <f t="shared" ca="1" si="20"/>
        <v>46056</v>
      </c>
    </row>
    <row r="392" spans="1:24"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5">
        <v>19910000000000</v>
      </c>
      <c r="R392">
        <v>77</v>
      </c>
      <c r="S392">
        <v>9.4</v>
      </c>
      <c r="T392">
        <v>59.2</v>
      </c>
      <c r="U392">
        <v>1397715000</v>
      </c>
      <c r="V392">
        <f t="shared" ca="1" si="18"/>
        <v>54.091044850415649</v>
      </c>
      <c r="W392" s="3">
        <f t="shared" si="19"/>
        <v>26299</v>
      </c>
      <c r="X392" s="3">
        <f t="shared" ca="1" si="20"/>
        <v>46056</v>
      </c>
    </row>
    <row r="393" spans="1:24"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5">
        <v>592164400688</v>
      </c>
      <c r="R393">
        <v>77.599999999999994</v>
      </c>
      <c r="S393">
        <v>17.399999999999999</v>
      </c>
      <c r="T393">
        <v>40.799999999999997</v>
      </c>
      <c r="U393">
        <v>37970874</v>
      </c>
      <c r="V393">
        <f t="shared" ca="1" si="18"/>
        <v>63.568088960026955</v>
      </c>
      <c r="W393" s="3">
        <f t="shared" si="19"/>
        <v>22838</v>
      </c>
      <c r="X393" s="3">
        <f t="shared" ca="1" si="20"/>
        <v>46056</v>
      </c>
    </row>
    <row r="394" spans="1:24"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5">
        <v>448120428859</v>
      </c>
      <c r="R394">
        <v>54.3</v>
      </c>
      <c r="S394">
        <v>1.5</v>
      </c>
      <c r="T394">
        <v>34.799999999999997</v>
      </c>
      <c r="U394">
        <v>200963599</v>
      </c>
      <c r="V394">
        <f t="shared" ca="1" si="18"/>
        <v>72.767944354003262</v>
      </c>
      <c r="W394" s="3">
        <f t="shared" si="19"/>
        <v>19478</v>
      </c>
      <c r="X394" s="3">
        <f t="shared" ca="1" si="20"/>
        <v>46056</v>
      </c>
    </row>
    <row r="395" spans="1:24"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5">
        <v>21427700000000</v>
      </c>
      <c r="R395">
        <v>78.5</v>
      </c>
      <c r="S395">
        <v>9.6</v>
      </c>
      <c r="T395">
        <v>36.6</v>
      </c>
      <c r="U395">
        <v>328239523</v>
      </c>
      <c r="V395">
        <f t="shared" ca="1" si="18"/>
        <v>61.510625353092003</v>
      </c>
      <c r="W395" s="3">
        <f t="shared" si="19"/>
        <v>23589</v>
      </c>
      <c r="X395" s="3">
        <f t="shared" ca="1" si="20"/>
        <v>46056</v>
      </c>
    </row>
    <row r="396" spans="1:24"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5">
        <v>3845630030824</v>
      </c>
      <c r="R396">
        <v>80.900000000000006</v>
      </c>
      <c r="S396">
        <v>11.5</v>
      </c>
      <c r="T396">
        <v>48.8</v>
      </c>
      <c r="U396">
        <v>83132799</v>
      </c>
      <c r="V396">
        <f t="shared" ca="1" si="18"/>
        <v>82.351813826146469</v>
      </c>
      <c r="W396" s="3">
        <f t="shared" si="19"/>
        <v>15977</v>
      </c>
      <c r="X396" s="3">
        <f t="shared" ca="1" si="20"/>
        <v>46056</v>
      </c>
    </row>
    <row r="397" spans="1:24"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5">
        <v>3845630030824</v>
      </c>
      <c r="R397">
        <v>80.900000000000006</v>
      </c>
      <c r="S397">
        <v>11.5</v>
      </c>
      <c r="T397">
        <v>48.8</v>
      </c>
      <c r="U397">
        <v>83132799</v>
      </c>
      <c r="V397">
        <f t="shared" ca="1" si="18"/>
        <v>75.091033538672136</v>
      </c>
      <c r="W397" s="3">
        <f t="shared" si="19"/>
        <v>18629</v>
      </c>
      <c r="X397" s="3">
        <f t="shared" ca="1" si="20"/>
        <v>46056</v>
      </c>
    </row>
    <row r="398" spans="1:24"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5">
        <v>1699876578871</v>
      </c>
      <c r="R398">
        <v>72.7</v>
      </c>
      <c r="S398">
        <v>11.4</v>
      </c>
      <c r="T398">
        <v>46.2</v>
      </c>
      <c r="U398">
        <v>144373535</v>
      </c>
      <c r="V398">
        <f t="shared" ca="1" si="18"/>
        <v>66.954140999315541</v>
      </c>
      <c r="W398" s="3">
        <f t="shared" si="19"/>
        <v>21601</v>
      </c>
      <c r="X398" s="3">
        <f t="shared" ca="1" si="20"/>
        <v>46056</v>
      </c>
    </row>
    <row r="399" spans="1:24"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5">
        <v>21427700000000</v>
      </c>
      <c r="R399">
        <v>78.5</v>
      </c>
      <c r="S399">
        <v>9.6</v>
      </c>
      <c r="T399">
        <v>36.6</v>
      </c>
      <c r="U399">
        <v>328239523</v>
      </c>
      <c r="V399">
        <f t="shared" ca="1" si="18"/>
        <v>88.06090995785523</v>
      </c>
      <c r="W399" s="3">
        <f t="shared" si="19"/>
        <v>13892</v>
      </c>
      <c r="X399" s="3">
        <f t="shared" ca="1" si="20"/>
        <v>46056</v>
      </c>
    </row>
    <row r="400" spans="1:24"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5">
        <v>1736425629520</v>
      </c>
      <c r="R400">
        <v>81.900000000000006</v>
      </c>
      <c r="S400">
        <v>12.8</v>
      </c>
      <c r="T400">
        <v>24.5</v>
      </c>
      <c r="U400">
        <v>36991981</v>
      </c>
      <c r="V400">
        <f t="shared" ca="1" si="18"/>
        <v>76.959598441503744</v>
      </c>
      <c r="W400" s="3">
        <f t="shared" si="19"/>
        <v>17947</v>
      </c>
      <c r="X400" s="3">
        <f t="shared" ca="1" si="20"/>
        <v>46056</v>
      </c>
    </row>
    <row r="401" spans="1:24"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5">
        <v>21427700000000</v>
      </c>
      <c r="R401">
        <v>78.5</v>
      </c>
      <c r="S401">
        <v>9.6</v>
      </c>
      <c r="T401">
        <v>36.6</v>
      </c>
      <c r="U401">
        <v>328239523</v>
      </c>
      <c r="V401">
        <f t="shared" ca="1" si="18"/>
        <v>66.442162902121837</v>
      </c>
      <c r="W401" s="3">
        <f t="shared" si="19"/>
        <v>21788</v>
      </c>
      <c r="X401" s="3">
        <f t="shared" ca="1" si="20"/>
        <v>46056</v>
      </c>
    </row>
    <row r="402" spans="1:24"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5">
        <v>2611000000000</v>
      </c>
      <c r="R402">
        <v>69.400000000000006</v>
      </c>
      <c r="S402">
        <v>11.2</v>
      </c>
      <c r="T402">
        <v>49.7</v>
      </c>
      <c r="U402">
        <v>1366417754</v>
      </c>
      <c r="V402">
        <f t="shared" ca="1" si="18"/>
        <v>68.091024521863346</v>
      </c>
      <c r="W402" s="3">
        <f t="shared" si="19"/>
        <v>21186</v>
      </c>
      <c r="X402" s="3">
        <f t="shared" ca="1" si="20"/>
        <v>46056</v>
      </c>
    </row>
    <row r="403" spans="1:24"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5">
        <v>543649976166</v>
      </c>
      <c r="R403">
        <v>76.900000000000006</v>
      </c>
      <c r="S403">
        <v>14.9</v>
      </c>
      <c r="T403">
        <v>29.5</v>
      </c>
      <c r="U403">
        <v>69625582</v>
      </c>
      <c r="V403">
        <f t="shared" ca="1" si="18"/>
        <v>91.255976212906262</v>
      </c>
      <c r="W403" s="3">
        <f t="shared" si="19"/>
        <v>12725</v>
      </c>
      <c r="X403" s="3">
        <f t="shared" ca="1" si="20"/>
        <v>46056</v>
      </c>
    </row>
    <row r="404" spans="1:24"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5">
        <v>395098666122</v>
      </c>
      <c r="R404">
        <v>82.8</v>
      </c>
      <c r="S404">
        <v>23.1</v>
      </c>
      <c r="T404">
        <v>25.3</v>
      </c>
      <c r="U404">
        <v>9053300</v>
      </c>
      <c r="V404">
        <f t="shared" ca="1" si="18"/>
        <v>95.286093313387326</v>
      </c>
      <c r="W404" s="3">
        <f t="shared" si="19"/>
        <v>11253</v>
      </c>
      <c r="X404" s="3">
        <f t="shared" ca="1" si="20"/>
        <v>46056</v>
      </c>
    </row>
    <row r="405" spans="1:24"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5">
        <v>21427700000000</v>
      </c>
      <c r="R405">
        <v>78.5</v>
      </c>
      <c r="S405">
        <v>9.6</v>
      </c>
      <c r="T405">
        <v>36.6</v>
      </c>
      <c r="U405">
        <v>328239523</v>
      </c>
      <c r="V405">
        <f t="shared" ca="1" si="18"/>
        <v>79.587257055940498</v>
      </c>
      <c r="W405" s="3">
        <f t="shared" si="19"/>
        <v>16987</v>
      </c>
      <c r="X405" s="3">
        <f t="shared" ca="1" si="20"/>
        <v>46056</v>
      </c>
    </row>
    <row r="406" spans="1:24"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5">
        <v>21427700000000</v>
      </c>
      <c r="R406">
        <v>78.5</v>
      </c>
      <c r="S406">
        <v>9.6</v>
      </c>
      <c r="T406">
        <v>36.6</v>
      </c>
      <c r="U406">
        <v>328239523</v>
      </c>
      <c r="V406">
        <f t="shared" ca="1" si="18"/>
        <v>74.592744695414098</v>
      </c>
      <c r="W406" s="3">
        <f t="shared" si="19"/>
        <v>18811</v>
      </c>
      <c r="X406" s="3">
        <f t="shared" ca="1" si="20"/>
        <v>46056</v>
      </c>
    </row>
    <row r="407" spans="1:24"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5">
        <v>21427700000000</v>
      </c>
      <c r="R407">
        <v>78.5</v>
      </c>
      <c r="S407">
        <v>9.6</v>
      </c>
      <c r="T407">
        <v>36.6</v>
      </c>
      <c r="U407">
        <v>328239523</v>
      </c>
      <c r="V407">
        <f t="shared" ca="1" si="18"/>
        <v>88.406546605013375</v>
      </c>
      <c r="W407" s="3">
        <f t="shared" si="19"/>
        <v>13766</v>
      </c>
      <c r="X407" s="3">
        <f t="shared" ca="1" si="20"/>
        <v>46056</v>
      </c>
    </row>
    <row r="408" spans="1:24"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5">
        <v>19910000000000</v>
      </c>
      <c r="R408">
        <v>77</v>
      </c>
      <c r="S408">
        <v>9.4</v>
      </c>
      <c r="T408">
        <v>59.2</v>
      </c>
      <c r="U408">
        <v>1397715000</v>
      </c>
      <c r="V408">
        <f t="shared" ca="1" si="18"/>
        <v>63.091033538672143</v>
      </c>
      <c r="W408" s="3">
        <f t="shared" si="19"/>
        <v>23012</v>
      </c>
      <c r="X408" s="3">
        <f t="shared" ca="1" si="20"/>
        <v>46056</v>
      </c>
    </row>
    <row r="409" spans="1:24"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5">
        <v>543649976166</v>
      </c>
      <c r="R409">
        <v>76.900000000000006</v>
      </c>
      <c r="S409">
        <v>14.9</v>
      </c>
      <c r="T409">
        <v>29.5</v>
      </c>
      <c r="U409">
        <v>69625582</v>
      </c>
      <c r="V409">
        <f t="shared" ca="1" si="18"/>
        <v>95.844618815094975</v>
      </c>
      <c r="W409" s="3">
        <f t="shared" si="19"/>
        <v>11049</v>
      </c>
      <c r="X409" s="3">
        <f t="shared" ca="1" si="20"/>
        <v>46056</v>
      </c>
    </row>
    <row r="410" spans="1:24"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5">
        <v>21427700000000</v>
      </c>
      <c r="R410">
        <v>78.5</v>
      </c>
      <c r="S410">
        <v>9.6</v>
      </c>
      <c r="T410">
        <v>36.6</v>
      </c>
      <c r="U410">
        <v>328239523</v>
      </c>
      <c r="V410">
        <f t="shared" ca="1" si="18"/>
        <v>64.784369036754327</v>
      </c>
      <c r="W410" s="3">
        <f t="shared" si="19"/>
        <v>22394</v>
      </c>
      <c r="X410" s="3">
        <f t="shared" ca="1" si="20"/>
        <v>46056</v>
      </c>
    </row>
    <row r="411" spans="1:24"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5">
        <v>21427700000000</v>
      </c>
      <c r="R411">
        <v>78.5</v>
      </c>
      <c r="S411">
        <v>9.6</v>
      </c>
      <c r="T411">
        <v>36.6</v>
      </c>
      <c r="U411">
        <v>328239523</v>
      </c>
      <c r="V411">
        <f t="shared" ca="1" si="18"/>
        <v>65.310763321346855</v>
      </c>
      <c r="W411" s="3">
        <f t="shared" si="19"/>
        <v>22201</v>
      </c>
      <c r="X411" s="3">
        <f t="shared" ca="1" si="20"/>
        <v>46056</v>
      </c>
    </row>
    <row r="412" spans="1:24"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5">
        <v>19910000000000</v>
      </c>
      <c r="R412">
        <v>77</v>
      </c>
      <c r="S412">
        <v>9.4</v>
      </c>
      <c r="T412">
        <v>59.2</v>
      </c>
      <c r="U412">
        <v>1397715000</v>
      </c>
      <c r="V412">
        <f t="shared" ca="1" si="18"/>
        <v>69.052685101889153</v>
      </c>
      <c r="W412" s="3">
        <f t="shared" si="19"/>
        <v>20835</v>
      </c>
      <c r="X412" s="3">
        <f t="shared" ca="1" si="20"/>
        <v>46056</v>
      </c>
    </row>
    <row r="413" spans="1:24"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5">
        <v>21427700000000</v>
      </c>
      <c r="R413">
        <v>78.5</v>
      </c>
      <c r="S413">
        <v>9.6</v>
      </c>
      <c r="T413">
        <v>36.6</v>
      </c>
      <c r="U413">
        <v>328239523</v>
      </c>
      <c r="V413">
        <f t="shared" ca="1" si="18"/>
        <v>61.097214375733344</v>
      </c>
      <c r="W413" s="3">
        <f t="shared" si="19"/>
        <v>23740</v>
      </c>
      <c r="X413" s="3">
        <f t="shared" ca="1" si="20"/>
        <v>46056</v>
      </c>
    </row>
    <row r="414" spans="1:24"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5">
        <v>348078018464</v>
      </c>
      <c r="R414">
        <v>81</v>
      </c>
      <c r="S414">
        <v>32.4</v>
      </c>
      <c r="T414">
        <v>23.8</v>
      </c>
      <c r="U414">
        <v>5818553</v>
      </c>
      <c r="V414">
        <f t="shared" ca="1" si="18"/>
        <v>78.277891854893909</v>
      </c>
      <c r="W414" s="3">
        <f t="shared" si="19"/>
        <v>17465</v>
      </c>
      <c r="X414" s="3">
        <f t="shared" ca="1" si="20"/>
        <v>46056</v>
      </c>
    </row>
    <row r="415" spans="1:24"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5">
        <v>21427700000000</v>
      </c>
      <c r="R415">
        <v>78.5</v>
      </c>
      <c r="S415">
        <v>9.6</v>
      </c>
      <c r="T415">
        <v>36.6</v>
      </c>
      <c r="U415">
        <v>328239523</v>
      </c>
      <c r="V415">
        <f t="shared" ca="1" si="18"/>
        <v>73.516098415711468</v>
      </c>
      <c r="W415" s="3">
        <f t="shared" si="19"/>
        <v>19204</v>
      </c>
      <c r="X415" s="3">
        <f t="shared" ca="1" si="20"/>
        <v>46056</v>
      </c>
    </row>
    <row r="416" spans="1:24"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5">
        <v>153781069118</v>
      </c>
      <c r="R416">
        <v>71.599999999999994</v>
      </c>
      <c r="S416">
        <v>20.100000000000001</v>
      </c>
      <c r="T416">
        <v>45.2</v>
      </c>
      <c r="U416">
        <v>44385155</v>
      </c>
      <c r="V416">
        <f t="shared" ca="1" si="18"/>
        <v>59.370960502693002</v>
      </c>
      <c r="W416" s="3">
        <f t="shared" si="19"/>
        <v>24371</v>
      </c>
      <c r="X416" s="3">
        <f t="shared" ca="1" si="20"/>
        <v>46056</v>
      </c>
    </row>
    <row r="417" spans="1:24"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5">
        <v>21427700000000</v>
      </c>
      <c r="R417">
        <v>78.5</v>
      </c>
      <c r="S417">
        <v>9.6</v>
      </c>
      <c r="T417">
        <v>36.6</v>
      </c>
      <c r="U417">
        <v>328239523</v>
      </c>
      <c r="V417">
        <f t="shared" ca="1" si="18"/>
        <v>91.387394017899197</v>
      </c>
      <c r="W417" s="3">
        <f t="shared" si="19"/>
        <v>12677</v>
      </c>
      <c r="X417" s="3">
        <f t="shared" ca="1" si="20"/>
        <v>46056</v>
      </c>
    </row>
    <row r="418" spans="1:24"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5">
        <v>1736425629520</v>
      </c>
      <c r="R418">
        <v>81.900000000000006</v>
      </c>
      <c r="S418">
        <v>12.8</v>
      </c>
      <c r="T418">
        <v>24.5</v>
      </c>
      <c r="U418">
        <v>36991981</v>
      </c>
      <c r="V418">
        <f t="shared" ca="1" si="18"/>
        <v>96.091027124671868</v>
      </c>
      <c r="W418" s="3">
        <f t="shared" si="19"/>
        <v>10959</v>
      </c>
      <c r="X418" s="3">
        <f t="shared" ca="1" si="20"/>
        <v>46056</v>
      </c>
    </row>
    <row r="419" spans="1:24"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5">
        <v>530832908738</v>
      </c>
      <c r="R419">
        <v>82.5</v>
      </c>
      <c r="S419">
        <v>27.9</v>
      </c>
      <c r="T419">
        <v>49.1</v>
      </c>
      <c r="U419">
        <v>10285453</v>
      </c>
      <c r="V419">
        <f t="shared" ca="1" si="18"/>
        <v>74.499657768651602</v>
      </c>
      <c r="W419" s="3">
        <f t="shared" si="19"/>
        <v>18845</v>
      </c>
      <c r="X419" s="3">
        <f t="shared" ca="1" si="20"/>
        <v>46056</v>
      </c>
    </row>
    <row r="420" spans="1:24"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5">
        <v>703082435360</v>
      </c>
      <c r="R420">
        <v>83.6</v>
      </c>
      <c r="S420">
        <v>10.1</v>
      </c>
      <c r="T420">
        <v>28.8</v>
      </c>
      <c r="U420">
        <v>8574832</v>
      </c>
      <c r="V420">
        <f t="shared" ca="1" si="18"/>
        <v>80.132754590984973</v>
      </c>
      <c r="W420" s="3">
        <f t="shared" si="19"/>
        <v>16788</v>
      </c>
      <c r="X420" s="3">
        <f t="shared" ca="1" si="20"/>
        <v>46056</v>
      </c>
    </row>
    <row r="421" spans="1:24"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5">
        <v>21427700000000</v>
      </c>
      <c r="R421">
        <v>78.5</v>
      </c>
      <c r="S421">
        <v>9.6</v>
      </c>
      <c r="T421">
        <v>36.6</v>
      </c>
      <c r="U421">
        <v>328239523</v>
      </c>
      <c r="V421">
        <f t="shared" ca="1" si="18"/>
        <v>54.255989048596852</v>
      </c>
      <c r="W421" s="3">
        <f t="shared" si="19"/>
        <v>26239</v>
      </c>
      <c r="X421" s="3">
        <f t="shared" ca="1" si="20"/>
        <v>46056</v>
      </c>
    </row>
    <row r="422" spans="1:24"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5">
        <v>21427700000000</v>
      </c>
      <c r="R422">
        <v>78.5</v>
      </c>
      <c r="S422">
        <v>9.6</v>
      </c>
      <c r="T422">
        <v>36.6</v>
      </c>
      <c r="U422">
        <v>328239523</v>
      </c>
      <c r="V422">
        <f t="shared" ca="1" si="18"/>
        <v>61.841901699187346</v>
      </c>
      <c r="W422" s="3">
        <f t="shared" si="19"/>
        <v>23468</v>
      </c>
      <c r="X422" s="3">
        <f t="shared" ca="1" si="20"/>
        <v>46056</v>
      </c>
    </row>
    <row r="423" spans="1:24"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5">
        <v>21427700000000</v>
      </c>
      <c r="R423">
        <v>78.5</v>
      </c>
      <c r="S423">
        <v>9.6</v>
      </c>
      <c r="T423">
        <v>36.6</v>
      </c>
      <c r="U423">
        <v>328239523</v>
      </c>
      <c r="V423">
        <f t="shared" ca="1" si="18"/>
        <v>59.480475763016159</v>
      </c>
      <c r="W423" s="3">
        <f t="shared" si="19"/>
        <v>24331</v>
      </c>
      <c r="X423" s="3">
        <f t="shared" ca="1" si="20"/>
        <v>46056</v>
      </c>
    </row>
    <row r="424" spans="1:24"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5">
        <v>21427700000000</v>
      </c>
      <c r="R424">
        <v>78.5</v>
      </c>
      <c r="S424">
        <v>9.6</v>
      </c>
      <c r="T424">
        <v>36.6</v>
      </c>
      <c r="U424">
        <v>328239523</v>
      </c>
      <c r="V424">
        <f t="shared" ca="1" si="18"/>
        <v>82.830937713894599</v>
      </c>
      <c r="W424" s="3">
        <f t="shared" si="19"/>
        <v>15802</v>
      </c>
      <c r="X424" s="3">
        <f t="shared" ca="1" si="20"/>
        <v>46056</v>
      </c>
    </row>
    <row r="425" spans="1:24"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5">
        <v>19910000000000</v>
      </c>
      <c r="R425">
        <v>77</v>
      </c>
      <c r="S425">
        <v>9.4</v>
      </c>
      <c r="T425">
        <v>59.2</v>
      </c>
      <c r="U425">
        <v>1397715000</v>
      </c>
      <c r="V425">
        <f t="shared" ca="1" si="18"/>
        <v>55.176569479802104</v>
      </c>
      <c r="W425" s="3">
        <f t="shared" si="19"/>
        <v>25903</v>
      </c>
      <c r="X425" s="3">
        <f t="shared" ca="1" si="20"/>
        <v>46056</v>
      </c>
    </row>
    <row r="426" spans="1:24"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5">
        <v>2611000000000</v>
      </c>
      <c r="R426">
        <v>69.400000000000006</v>
      </c>
      <c r="S426">
        <v>11.2</v>
      </c>
      <c r="T426">
        <v>49.7</v>
      </c>
      <c r="U426">
        <v>1366417754</v>
      </c>
      <c r="V426">
        <f t="shared" ca="1" si="18"/>
        <v>83.918540230625524</v>
      </c>
      <c r="W426" s="3">
        <f t="shared" si="19"/>
        <v>15405</v>
      </c>
      <c r="X426" s="3">
        <f t="shared" ca="1" si="20"/>
        <v>46056</v>
      </c>
    </row>
    <row r="427" spans="1:24"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5">
        <v>21427700000000</v>
      </c>
      <c r="R427">
        <v>78.5</v>
      </c>
      <c r="S427">
        <v>9.6</v>
      </c>
      <c r="T427">
        <v>36.6</v>
      </c>
      <c r="U427">
        <v>328239523</v>
      </c>
      <c r="V427">
        <f t="shared" ca="1" si="18"/>
        <v>90.384668035592057</v>
      </c>
      <c r="W427" s="3">
        <f t="shared" si="19"/>
        <v>13043</v>
      </c>
      <c r="X427" s="3">
        <f t="shared" ca="1" si="20"/>
        <v>46056</v>
      </c>
    </row>
    <row r="428" spans="1:24"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5">
        <v>19910000000000</v>
      </c>
      <c r="R428">
        <v>77</v>
      </c>
      <c r="S428">
        <v>9.4</v>
      </c>
      <c r="T428">
        <v>59.2</v>
      </c>
      <c r="U428">
        <v>1397715000</v>
      </c>
      <c r="V428">
        <f t="shared" ca="1" si="18"/>
        <v>59.091033538672143</v>
      </c>
      <c r="W428" s="3">
        <f t="shared" si="19"/>
        <v>24473</v>
      </c>
      <c r="X428" s="3">
        <f t="shared" ca="1" si="20"/>
        <v>46056</v>
      </c>
    </row>
    <row r="429" spans="1:24"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5">
        <v>21427700000000</v>
      </c>
      <c r="R429">
        <v>78.5</v>
      </c>
      <c r="S429">
        <v>9.6</v>
      </c>
      <c r="T429">
        <v>36.6</v>
      </c>
      <c r="U429">
        <v>328239523</v>
      </c>
      <c r="V429">
        <f t="shared" ca="1" si="18"/>
        <v>68.074597254186173</v>
      </c>
      <c r="W429" s="3">
        <f t="shared" si="19"/>
        <v>21192</v>
      </c>
      <c r="X429" s="3">
        <f t="shared" ca="1" si="20"/>
        <v>46056</v>
      </c>
    </row>
    <row r="430" spans="1:24"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5">
        <v>21427700000000</v>
      </c>
      <c r="R430">
        <v>78.5</v>
      </c>
      <c r="S430">
        <v>9.6</v>
      </c>
      <c r="T430">
        <v>36.6</v>
      </c>
      <c r="U430">
        <v>328239523</v>
      </c>
      <c r="V430">
        <f t="shared" ca="1" si="18"/>
        <v>72.357259138671012</v>
      </c>
      <c r="W430" s="3">
        <f t="shared" si="19"/>
        <v>19628</v>
      </c>
      <c r="X430" s="3">
        <f t="shared" ca="1" si="20"/>
        <v>46056</v>
      </c>
    </row>
    <row r="431" spans="1:24"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5">
        <v>395098666122</v>
      </c>
      <c r="R431">
        <v>82.8</v>
      </c>
      <c r="S431">
        <v>23.1</v>
      </c>
      <c r="T431">
        <v>25.3</v>
      </c>
      <c r="U431">
        <v>9053300</v>
      </c>
      <c r="V431">
        <f t="shared" ca="1" si="18"/>
        <v>54.258726899383987</v>
      </c>
      <c r="W431" s="3">
        <f t="shared" si="19"/>
        <v>26238</v>
      </c>
      <c r="X431" s="3">
        <f t="shared" ca="1" si="20"/>
        <v>46056</v>
      </c>
    </row>
    <row r="432" spans="1:24"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5">
        <v>2029000000000</v>
      </c>
      <c r="R432">
        <v>82.6</v>
      </c>
      <c r="S432">
        <v>15.6</v>
      </c>
      <c r="T432">
        <v>33.200000000000003</v>
      </c>
      <c r="U432">
        <v>51709098</v>
      </c>
      <c r="V432">
        <f t="shared" ca="1" si="18"/>
        <v>68.283333985215322</v>
      </c>
      <c r="W432" s="3">
        <f t="shared" si="19"/>
        <v>21116</v>
      </c>
      <c r="X432" s="3">
        <f t="shared" ca="1" si="20"/>
        <v>46056</v>
      </c>
    </row>
    <row r="433" spans="1:24"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5">
        <v>19910000000000</v>
      </c>
      <c r="R433">
        <v>77</v>
      </c>
      <c r="S433">
        <v>9.4</v>
      </c>
      <c r="T433">
        <v>59.2</v>
      </c>
      <c r="U433">
        <v>1397715000</v>
      </c>
      <c r="V433">
        <f t="shared" ca="1" si="18"/>
        <v>62.091043414019381</v>
      </c>
      <c r="W433" s="3">
        <f t="shared" si="19"/>
        <v>23377</v>
      </c>
      <c r="X433" s="3">
        <f t="shared" ca="1" si="20"/>
        <v>46056</v>
      </c>
    </row>
    <row r="434" spans="1:24"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5">
        <v>21427700000000</v>
      </c>
      <c r="R434">
        <v>78.5</v>
      </c>
      <c r="S434">
        <v>9.6</v>
      </c>
      <c r="T434">
        <v>36.6</v>
      </c>
      <c r="U434">
        <v>328239523</v>
      </c>
      <c r="V434">
        <f t="shared" ca="1" si="18"/>
        <v>76.600933693706352</v>
      </c>
      <c r="W434" s="3">
        <f t="shared" si="19"/>
        <v>18078</v>
      </c>
      <c r="X434" s="3">
        <f t="shared" ca="1" si="20"/>
        <v>46056</v>
      </c>
    </row>
    <row r="435" spans="1:24"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5">
        <v>21427700000000</v>
      </c>
      <c r="R435">
        <v>78.5</v>
      </c>
      <c r="S435">
        <v>9.6</v>
      </c>
      <c r="T435">
        <v>36.6</v>
      </c>
      <c r="U435">
        <v>328239523</v>
      </c>
      <c r="V435">
        <f t="shared" ca="1" si="18"/>
        <v>68.814487425196546</v>
      </c>
      <c r="W435" s="3">
        <f t="shared" si="19"/>
        <v>20922</v>
      </c>
      <c r="X435" s="3">
        <f t="shared" ca="1" si="20"/>
        <v>46056</v>
      </c>
    </row>
    <row r="436" spans="1:24"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5">
        <v>21427700000000</v>
      </c>
      <c r="R436">
        <v>78.5</v>
      </c>
      <c r="S436">
        <v>9.6</v>
      </c>
      <c r="T436">
        <v>36.6</v>
      </c>
      <c r="U436">
        <v>328239523</v>
      </c>
      <c r="V436">
        <f t="shared" ca="1" si="18"/>
        <v>35.496892111883973</v>
      </c>
      <c r="W436" s="3">
        <f t="shared" si="19"/>
        <v>33091</v>
      </c>
      <c r="X436" s="3">
        <f t="shared" ca="1" si="20"/>
        <v>46056</v>
      </c>
    </row>
    <row r="437" spans="1:24"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5">
        <v>21427700000000</v>
      </c>
      <c r="R437">
        <v>78.5</v>
      </c>
      <c r="S437">
        <v>9.6</v>
      </c>
      <c r="T437">
        <v>36.6</v>
      </c>
      <c r="U437">
        <v>328239523</v>
      </c>
      <c r="V437">
        <f t="shared" ca="1" si="18"/>
        <v>37.401123201123198</v>
      </c>
      <c r="W437" s="3">
        <f t="shared" si="19"/>
        <v>32395</v>
      </c>
      <c r="X437" s="3">
        <f t="shared" ca="1" si="20"/>
        <v>46056</v>
      </c>
    </row>
    <row r="438" spans="1:24"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5">
        <v>21427700000000</v>
      </c>
      <c r="R438">
        <v>78.5</v>
      </c>
      <c r="S438">
        <v>9.6</v>
      </c>
      <c r="T438">
        <v>36.6</v>
      </c>
      <c r="U438">
        <v>328239523</v>
      </c>
      <c r="V438">
        <f t="shared" ca="1" si="18"/>
        <v>96.819969827345361</v>
      </c>
      <c r="W438" s="3">
        <f t="shared" si="19"/>
        <v>10693</v>
      </c>
      <c r="X438" s="3">
        <f t="shared" ca="1" si="20"/>
        <v>46056</v>
      </c>
    </row>
    <row r="439" spans="1:24"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5">
        <v>2001244392042</v>
      </c>
      <c r="R439">
        <v>82.9</v>
      </c>
      <c r="S439">
        <v>24.3</v>
      </c>
      <c r="T439">
        <v>59.1</v>
      </c>
      <c r="U439">
        <v>60297396</v>
      </c>
      <c r="V439">
        <f t="shared" ca="1" si="18"/>
        <v>80.704974958263776</v>
      </c>
      <c r="W439" s="3">
        <f t="shared" si="19"/>
        <v>16579</v>
      </c>
      <c r="X439" s="3">
        <f t="shared" ca="1" si="20"/>
        <v>46056</v>
      </c>
    </row>
    <row r="440" spans="1:24"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5">
        <v>21427700000000</v>
      </c>
      <c r="R440">
        <v>78.5</v>
      </c>
      <c r="S440">
        <v>9.6</v>
      </c>
      <c r="T440">
        <v>36.6</v>
      </c>
      <c r="U440">
        <v>328239523</v>
      </c>
      <c r="V440">
        <f t="shared" ca="1" si="18"/>
        <v>60.934952528151911</v>
      </c>
      <c r="W440" s="3">
        <f t="shared" si="19"/>
        <v>23800</v>
      </c>
      <c r="X440" s="3">
        <f t="shared" ca="1" si="20"/>
        <v>46056</v>
      </c>
    </row>
    <row r="441" spans="1:24"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5">
        <v>1736425629520</v>
      </c>
      <c r="R441">
        <v>81.900000000000006</v>
      </c>
      <c r="S441">
        <v>12.8</v>
      </c>
      <c r="T441">
        <v>24.5</v>
      </c>
      <c r="U441">
        <v>36991981</v>
      </c>
      <c r="V441">
        <f t="shared" ca="1" si="18"/>
        <v>97.874751106194694</v>
      </c>
      <c r="W441" s="3">
        <f t="shared" si="19"/>
        <v>10307</v>
      </c>
      <c r="X441" s="3">
        <f t="shared" ca="1" si="20"/>
        <v>46056</v>
      </c>
    </row>
    <row r="442" spans="1:24"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5">
        <v>19910000000000</v>
      </c>
      <c r="R442">
        <v>77</v>
      </c>
      <c r="S442">
        <v>9.4</v>
      </c>
      <c r="T442">
        <v>59.2</v>
      </c>
      <c r="U442">
        <v>1397715000</v>
      </c>
      <c r="V442">
        <f t="shared" ca="1" si="18"/>
        <v>70.92950034223135</v>
      </c>
      <c r="W442" s="3">
        <f t="shared" si="19"/>
        <v>20149</v>
      </c>
      <c r="X442" s="3">
        <f t="shared" ca="1" si="20"/>
        <v>46056</v>
      </c>
    </row>
    <row r="443" spans="1:24"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5">
        <v>3845630030824</v>
      </c>
      <c r="R443">
        <v>80.900000000000006</v>
      </c>
      <c r="S443">
        <v>11.5</v>
      </c>
      <c r="T443">
        <v>48.8</v>
      </c>
      <c r="U443">
        <v>83132799</v>
      </c>
      <c r="V443">
        <f t="shared" ca="1" si="18"/>
        <v>84.669383337047535</v>
      </c>
      <c r="W443" s="3">
        <f t="shared" si="19"/>
        <v>15131</v>
      </c>
      <c r="X443" s="3">
        <f t="shared" ca="1" si="20"/>
        <v>46056</v>
      </c>
    </row>
    <row r="444" spans="1:24"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5">
        <v>3845630030824</v>
      </c>
      <c r="R444">
        <v>80.900000000000006</v>
      </c>
      <c r="S444">
        <v>11.5</v>
      </c>
      <c r="T444">
        <v>48.8</v>
      </c>
      <c r="U444">
        <v>83132799</v>
      </c>
      <c r="V444">
        <f t="shared" ca="1" si="18"/>
        <v>61.091013468756898</v>
      </c>
      <c r="W444" s="3">
        <f t="shared" si="19"/>
        <v>23743</v>
      </c>
      <c r="X444" s="3">
        <f t="shared" ca="1" si="20"/>
        <v>46056</v>
      </c>
    </row>
    <row r="445" spans="1:24"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5">
        <v>21427700000000</v>
      </c>
      <c r="R445">
        <v>78.5</v>
      </c>
      <c r="S445">
        <v>9.6</v>
      </c>
      <c r="T445">
        <v>36.6</v>
      </c>
      <c r="U445">
        <v>328239523</v>
      </c>
      <c r="V445">
        <f t="shared" ca="1" si="18"/>
        <v>69.453129217599198</v>
      </c>
      <c r="W445" s="3">
        <f t="shared" si="19"/>
        <v>20688</v>
      </c>
      <c r="X445" s="3">
        <f t="shared" ca="1" si="20"/>
        <v>46056</v>
      </c>
    </row>
    <row r="446" spans="1:24"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5">
        <v>21427700000000</v>
      </c>
      <c r="R446">
        <v>78.5</v>
      </c>
      <c r="S446">
        <v>9.6</v>
      </c>
      <c r="T446">
        <v>36.6</v>
      </c>
      <c r="U446">
        <v>328239523</v>
      </c>
      <c r="V446">
        <f t="shared" ca="1" si="18"/>
        <v>81.060901502504166</v>
      </c>
      <c r="W446" s="3">
        <f t="shared" si="19"/>
        <v>16449</v>
      </c>
      <c r="X446" s="3">
        <f t="shared" ca="1" si="20"/>
        <v>46056</v>
      </c>
    </row>
    <row r="447" spans="1:24"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5">
        <v>21427700000000</v>
      </c>
      <c r="R447">
        <v>78.5</v>
      </c>
      <c r="S447">
        <v>9.6</v>
      </c>
      <c r="T447">
        <v>36.6</v>
      </c>
      <c r="U447">
        <v>328239523</v>
      </c>
      <c r="V447">
        <f t="shared" ca="1" si="18"/>
        <v>81.450389233408103</v>
      </c>
      <c r="W447" s="3">
        <f t="shared" si="19"/>
        <v>16306</v>
      </c>
      <c r="X447" s="3">
        <f t="shared" ca="1" si="20"/>
        <v>46056</v>
      </c>
    </row>
    <row r="448" spans="1:24"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5">
        <v>2001244392042</v>
      </c>
      <c r="R448">
        <v>82.9</v>
      </c>
      <c r="S448">
        <v>24.3</v>
      </c>
      <c r="T448">
        <v>59.1</v>
      </c>
      <c r="U448">
        <v>60297396</v>
      </c>
      <c r="V448">
        <f t="shared" ca="1" si="18"/>
        <v>82.87748117727584</v>
      </c>
      <c r="W448" s="3">
        <f t="shared" si="19"/>
        <v>15785</v>
      </c>
      <c r="X448" s="3">
        <f t="shared" ca="1" si="20"/>
        <v>46056</v>
      </c>
    </row>
    <row r="449" spans="1:24"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5">
        <v>21427700000000</v>
      </c>
      <c r="R449">
        <v>78.5</v>
      </c>
      <c r="S449">
        <v>9.6</v>
      </c>
      <c r="T449">
        <v>36.6</v>
      </c>
      <c r="U449">
        <v>328239523</v>
      </c>
      <c r="V449">
        <f t="shared" ca="1" si="18"/>
        <v>83.806287444437288</v>
      </c>
      <c r="W449" s="3">
        <f t="shared" si="19"/>
        <v>15446</v>
      </c>
      <c r="X449" s="3">
        <f t="shared" ca="1" si="20"/>
        <v>46056</v>
      </c>
    </row>
    <row r="450" spans="1:24"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5">
        <v>1392680589329</v>
      </c>
      <c r="R450">
        <v>82.7</v>
      </c>
      <c r="S450">
        <v>23</v>
      </c>
      <c r="T450">
        <v>47.4</v>
      </c>
      <c r="U450">
        <v>25766605</v>
      </c>
      <c r="V450">
        <f t="shared" ref="V450:V513" ca="1" si="21">YEARFRAC(W450,X450,1)</f>
        <v>70.844626967830251</v>
      </c>
      <c r="W450" s="3">
        <f t="shared" si="19"/>
        <v>20180</v>
      </c>
      <c r="X450" s="3">
        <f t="shared" ca="1" si="20"/>
        <v>46056</v>
      </c>
    </row>
    <row r="451" spans="1:24"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5">
        <v>19910000000000</v>
      </c>
      <c r="R451">
        <v>77</v>
      </c>
      <c r="S451">
        <v>9.4</v>
      </c>
      <c r="T451">
        <v>59.2</v>
      </c>
      <c r="U451">
        <v>1397715000</v>
      </c>
      <c r="V451">
        <f t="shared" ca="1" si="21"/>
        <v>59.091033538672143</v>
      </c>
      <c r="W451" s="3">
        <f t="shared" ref="W451:W476" si="22">DATE(M451,N451,O451)</f>
        <v>24473</v>
      </c>
      <c r="X451" s="3">
        <f t="shared" ref="X451:X476" ca="1" si="23">TODAY()</f>
        <v>46056</v>
      </c>
    </row>
    <row r="452" spans="1:24"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5">
        <v>2001244392042</v>
      </c>
      <c r="R452">
        <v>82.9</v>
      </c>
      <c r="S452">
        <v>24.3</v>
      </c>
      <c r="T452">
        <v>59.1</v>
      </c>
      <c r="U452">
        <v>60297396</v>
      </c>
      <c r="V452">
        <f t="shared" ca="1" si="21"/>
        <v>80.091025857698156</v>
      </c>
      <c r="W452" s="3">
        <f t="shared" si="22"/>
        <v>16803</v>
      </c>
      <c r="X452" s="3">
        <f t="shared" ca="1" si="23"/>
        <v>46056</v>
      </c>
    </row>
    <row r="453" spans="1:24"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5">
        <v>2611000000000</v>
      </c>
      <c r="R453">
        <v>69.400000000000006</v>
      </c>
      <c r="S453">
        <v>11.2</v>
      </c>
      <c r="T453">
        <v>49.7</v>
      </c>
      <c r="U453">
        <v>1366417754</v>
      </c>
      <c r="V453">
        <f t="shared" ca="1" si="21"/>
        <v>84.795326477985412</v>
      </c>
      <c r="W453" s="3">
        <f t="shared" si="22"/>
        <v>15085</v>
      </c>
      <c r="X453" s="3">
        <f t="shared" ca="1" si="23"/>
        <v>46056</v>
      </c>
    </row>
    <row r="454" spans="1:24"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5">
        <v>21427700000000</v>
      </c>
      <c r="R454">
        <v>78.5</v>
      </c>
      <c r="S454">
        <v>9.6</v>
      </c>
      <c r="T454">
        <v>36.6</v>
      </c>
      <c r="U454">
        <v>328239523</v>
      </c>
      <c r="V454">
        <f t="shared" ca="1" si="21"/>
        <v>46.077357721209296</v>
      </c>
      <c r="W454" s="3">
        <f t="shared" si="22"/>
        <v>29226</v>
      </c>
      <c r="X454" s="3">
        <f t="shared" ca="1" si="23"/>
        <v>46056</v>
      </c>
    </row>
    <row r="455" spans="1:24"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5">
        <v>372062527489</v>
      </c>
      <c r="R455">
        <v>83.1</v>
      </c>
      <c r="S455">
        <v>13.1</v>
      </c>
      <c r="T455">
        <v>21</v>
      </c>
      <c r="U455">
        <v>5703569</v>
      </c>
      <c r="V455">
        <f t="shared" ca="1" si="21"/>
        <v>70.967830253251194</v>
      </c>
      <c r="W455" s="3">
        <f t="shared" si="22"/>
        <v>20135</v>
      </c>
      <c r="X455" s="3">
        <f t="shared" ca="1" si="23"/>
        <v>46056</v>
      </c>
    </row>
    <row r="456" spans="1:24"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5">
        <v>19910000000000</v>
      </c>
      <c r="R456">
        <v>77</v>
      </c>
      <c r="S456">
        <v>9.4</v>
      </c>
      <c r="T456">
        <v>59.2</v>
      </c>
      <c r="U456">
        <v>1397715000</v>
      </c>
      <c r="V456">
        <f t="shared" ca="1" si="21"/>
        <v>61.091013468756898</v>
      </c>
      <c r="W456" s="3">
        <f t="shared" si="22"/>
        <v>23743</v>
      </c>
      <c r="X456" s="3">
        <f t="shared" ca="1" si="23"/>
        <v>46056</v>
      </c>
    </row>
    <row r="457" spans="1:24"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5">
        <v>703082435360</v>
      </c>
      <c r="R457">
        <v>83.6</v>
      </c>
      <c r="S457">
        <v>10.1</v>
      </c>
      <c r="T457">
        <v>28.8</v>
      </c>
      <c r="U457">
        <v>8574832</v>
      </c>
      <c r="V457">
        <f t="shared" ca="1" si="21"/>
        <v>79.995200270407295</v>
      </c>
      <c r="W457" s="3">
        <f t="shared" si="22"/>
        <v>16838</v>
      </c>
      <c r="X457" s="3">
        <f t="shared" ca="1" si="23"/>
        <v>46056</v>
      </c>
    </row>
    <row r="458" spans="1:24"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5">
        <v>2001244392042</v>
      </c>
      <c r="R458">
        <v>82.9</v>
      </c>
      <c r="S458">
        <v>24.3</v>
      </c>
      <c r="T458">
        <v>59.1</v>
      </c>
      <c r="U458">
        <v>60297396</v>
      </c>
      <c r="V458">
        <f t="shared" ca="1" si="21"/>
        <v>76.737828635613752</v>
      </c>
      <c r="W458" s="3">
        <f t="shared" si="22"/>
        <v>18028</v>
      </c>
      <c r="X458" s="3">
        <f t="shared" ca="1" si="23"/>
        <v>46056</v>
      </c>
    </row>
    <row r="459" spans="1:24"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5">
        <v>3845630030824</v>
      </c>
      <c r="R459">
        <v>80.900000000000006</v>
      </c>
      <c r="S459">
        <v>11.5</v>
      </c>
      <c r="T459">
        <v>48.8</v>
      </c>
      <c r="U459">
        <v>83132799</v>
      </c>
      <c r="V459">
        <f t="shared" ca="1" si="21"/>
        <v>73.332664087026359</v>
      </c>
      <c r="W459" s="3">
        <f t="shared" si="22"/>
        <v>19271</v>
      </c>
      <c r="X459" s="3">
        <f t="shared" ca="1" si="23"/>
        <v>46056</v>
      </c>
    </row>
    <row r="460" spans="1:24"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5">
        <v>3845630030824</v>
      </c>
      <c r="R460">
        <v>80.900000000000006</v>
      </c>
      <c r="S460">
        <v>11.5</v>
      </c>
      <c r="T460">
        <v>48.8</v>
      </c>
      <c r="U460">
        <v>83132799</v>
      </c>
      <c r="V460">
        <f t="shared" ca="1" si="21"/>
        <v>60.850077279752703</v>
      </c>
      <c r="W460" s="3">
        <f t="shared" si="22"/>
        <v>23831</v>
      </c>
      <c r="X460" s="3">
        <f t="shared" ca="1" si="23"/>
        <v>46056</v>
      </c>
    </row>
    <row r="461" spans="1:24"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5">
        <v>446314739528</v>
      </c>
      <c r="R461">
        <v>81.599999999999994</v>
      </c>
      <c r="S461">
        <v>25.4</v>
      </c>
      <c r="T461">
        <v>51.4</v>
      </c>
      <c r="U461">
        <v>8877067</v>
      </c>
      <c r="V461">
        <f t="shared" ca="1" si="21"/>
        <v>62.562628336755644</v>
      </c>
      <c r="W461" s="3">
        <f t="shared" si="22"/>
        <v>23205</v>
      </c>
      <c r="X461" s="3">
        <f t="shared" ca="1" si="23"/>
        <v>46056</v>
      </c>
    </row>
    <row r="462" spans="1:24"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5">
        <v>446314739528</v>
      </c>
      <c r="R462">
        <v>81.599999999999994</v>
      </c>
      <c r="S462">
        <v>25.4</v>
      </c>
      <c r="T462">
        <v>51.4</v>
      </c>
      <c r="U462">
        <v>8877067</v>
      </c>
      <c r="V462">
        <f t="shared" ca="1" si="21"/>
        <v>74.32443531827515</v>
      </c>
      <c r="W462" s="3">
        <f t="shared" si="22"/>
        <v>18909</v>
      </c>
      <c r="X462" s="3">
        <f t="shared" ca="1" si="23"/>
        <v>46056</v>
      </c>
    </row>
    <row r="463" spans="1:24"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5">
        <v>21427700000000</v>
      </c>
      <c r="R463">
        <v>78.5</v>
      </c>
      <c r="S463">
        <v>9.6</v>
      </c>
      <c r="T463">
        <v>36.6</v>
      </c>
      <c r="U463">
        <v>328239523</v>
      </c>
      <c r="V463">
        <f t="shared" ca="1" si="21"/>
        <v>52.373675404350251</v>
      </c>
      <c r="W463" s="3">
        <f t="shared" si="22"/>
        <v>26927</v>
      </c>
      <c r="X463" s="3">
        <f t="shared" ca="1" si="23"/>
        <v>46056</v>
      </c>
    </row>
    <row r="464" spans="1:24"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5">
        <v>21427700000000</v>
      </c>
      <c r="R464">
        <v>78.5</v>
      </c>
      <c r="S464">
        <v>9.6</v>
      </c>
      <c r="T464">
        <v>36.6</v>
      </c>
      <c r="U464">
        <v>328239523</v>
      </c>
      <c r="V464">
        <f t="shared" ca="1" si="21"/>
        <v>67.074606433949356</v>
      </c>
      <c r="W464" s="3">
        <f t="shared" si="22"/>
        <v>21557</v>
      </c>
      <c r="X464" s="3">
        <f t="shared" ca="1" si="23"/>
        <v>46056</v>
      </c>
    </row>
    <row r="465" spans="1:24"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5">
        <v>754411708203</v>
      </c>
      <c r="R465">
        <v>77.400000000000006</v>
      </c>
      <c r="S465">
        <v>17.899999999999999</v>
      </c>
      <c r="T465">
        <v>42.3</v>
      </c>
      <c r="U465">
        <v>83429615</v>
      </c>
      <c r="V465">
        <f t="shared" ca="1" si="21"/>
        <v>63.357272229476436</v>
      </c>
      <c r="W465" s="3">
        <f t="shared" si="22"/>
        <v>22915</v>
      </c>
      <c r="X465" s="3">
        <f t="shared" ca="1" si="23"/>
        <v>46056</v>
      </c>
    </row>
    <row r="466" spans="1:24"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5">
        <v>21427700000000</v>
      </c>
      <c r="R466">
        <v>78.5</v>
      </c>
      <c r="S466">
        <v>9.6</v>
      </c>
      <c r="T466">
        <v>36.6</v>
      </c>
      <c r="U466">
        <v>328239523</v>
      </c>
      <c r="V466">
        <f t="shared" ca="1" si="21"/>
        <v>62.7460643394935</v>
      </c>
      <c r="W466" s="3">
        <f t="shared" si="22"/>
        <v>23138</v>
      </c>
      <c r="X466" s="3">
        <f t="shared" ca="1" si="23"/>
        <v>46056</v>
      </c>
    </row>
    <row r="467" spans="1:24"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5">
        <v>21427700000000</v>
      </c>
      <c r="R467">
        <v>78.5</v>
      </c>
      <c r="S467">
        <v>9.6</v>
      </c>
      <c r="T467">
        <v>36.6</v>
      </c>
      <c r="U467">
        <v>328239523</v>
      </c>
      <c r="V467">
        <f t="shared" ca="1" si="21"/>
        <v>68.587241365823132</v>
      </c>
      <c r="W467" s="3">
        <f t="shared" si="22"/>
        <v>21005</v>
      </c>
      <c r="X467" s="3">
        <f t="shared" ca="1" si="23"/>
        <v>46056</v>
      </c>
    </row>
    <row r="468" spans="1:24"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5">
        <v>1119190780753</v>
      </c>
      <c r="R468">
        <v>71.5</v>
      </c>
      <c r="S468">
        <v>10.199999999999999</v>
      </c>
      <c r="T468">
        <v>30.1</v>
      </c>
      <c r="U468">
        <v>270203917</v>
      </c>
      <c r="V468">
        <f t="shared" ca="1" si="21"/>
        <v>81.726909882570254</v>
      </c>
      <c r="W468" s="3">
        <f t="shared" si="22"/>
        <v>16205</v>
      </c>
      <c r="X468" s="3">
        <f t="shared" ca="1" si="23"/>
        <v>46056</v>
      </c>
    </row>
    <row r="469" spans="1:24"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5">
        <v>21427700000000</v>
      </c>
      <c r="R469">
        <v>78.5</v>
      </c>
      <c r="S469">
        <v>9.6</v>
      </c>
      <c r="T469">
        <v>36.6</v>
      </c>
      <c r="U469">
        <v>328239523</v>
      </c>
      <c r="V469">
        <f t="shared" ca="1" si="21"/>
        <v>75.663916939268944</v>
      </c>
      <c r="W469" s="3">
        <f t="shared" si="22"/>
        <v>18420</v>
      </c>
      <c r="X469" s="3">
        <f t="shared" ca="1" si="23"/>
        <v>46056</v>
      </c>
    </row>
    <row r="470" spans="1:24"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5">
        <v>21427700000000</v>
      </c>
      <c r="R470">
        <v>78.5</v>
      </c>
      <c r="S470">
        <v>9.6</v>
      </c>
      <c r="T470">
        <v>36.6</v>
      </c>
      <c r="U470">
        <v>328239523</v>
      </c>
      <c r="V470">
        <f t="shared" ca="1" si="21"/>
        <v>83.088295687885008</v>
      </c>
      <c r="W470" s="3">
        <f t="shared" si="22"/>
        <v>15708</v>
      </c>
      <c r="X470" s="3">
        <f t="shared" ca="1" si="23"/>
        <v>46056</v>
      </c>
    </row>
    <row r="471" spans="1:24"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5">
        <v>21427700000000</v>
      </c>
      <c r="R471">
        <v>78.5</v>
      </c>
      <c r="S471">
        <v>9.6</v>
      </c>
      <c r="T471">
        <v>36.6</v>
      </c>
      <c r="U471">
        <v>328239523</v>
      </c>
      <c r="V471">
        <f t="shared" ca="1" si="21"/>
        <v>89.110897165894457</v>
      </c>
      <c r="W471" s="3">
        <f t="shared" si="22"/>
        <v>13508</v>
      </c>
      <c r="X471" s="3">
        <f t="shared" ca="1" si="23"/>
        <v>46056</v>
      </c>
    </row>
    <row r="472" spans="1:24"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5">
        <v>21427700000000</v>
      </c>
      <c r="R472">
        <v>78.5</v>
      </c>
      <c r="S472">
        <v>9.6</v>
      </c>
      <c r="T472">
        <v>36.6</v>
      </c>
      <c r="U472">
        <v>328239523</v>
      </c>
      <c r="V472">
        <f t="shared" ca="1" si="21"/>
        <v>81.428486607731884</v>
      </c>
      <c r="W472" s="3">
        <f t="shared" si="22"/>
        <v>16314</v>
      </c>
      <c r="X472" s="3">
        <f t="shared" ca="1" si="23"/>
        <v>46056</v>
      </c>
    </row>
    <row r="473" spans="1:24"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5">
        <v>21427700000000</v>
      </c>
      <c r="R473">
        <v>78.5</v>
      </c>
      <c r="S473">
        <v>9.6</v>
      </c>
      <c r="T473">
        <v>36.6</v>
      </c>
      <c r="U473">
        <v>328239523</v>
      </c>
      <c r="V473">
        <f t="shared" ca="1" si="21"/>
        <v>65.702271984308595</v>
      </c>
      <c r="W473" s="3">
        <f t="shared" si="22"/>
        <v>22058</v>
      </c>
      <c r="X473" s="3">
        <f t="shared" ca="1" si="23"/>
        <v>46056</v>
      </c>
    </row>
    <row r="474" spans="1:24"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5">
        <v>21427700000000</v>
      </c>
      <c r="R474">
        <v>78.5</v>
      </c>
      <c r="S474">
        <v>9.6</v>
      </c>
      <c r="T474">
        <v>36.6</v>
      </c>
      <c r="U474">
        <v>328239523</v>
      </c>
      <c r="V474">
        <f t="shared" ca="1" si="21"/>
        <v>84.713189646938972</v>
      </c>
      <c r="W474" s="3">
        <f t="shared" si="22"/>
        <v>15115</v>
      </c>
      <c r="X474" s="3">
        <f t="shared" ca="1" si="23"/>
        <v>46056</v>
      </c>
    </row>
    <row r="475" spans="1:24"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5">
        <v>3845630030824</v>
      </c>
      <c r="R475">
        <v>80.900000000000006</v>
      </c>
      <c r="S475">
        <v>11.5</v>
      </c>
      <c r="T475">
        <v>48.8</v>
      </c>
      <c r="U475">
        <v>83132799</v>
      </c>
      <c r="V475">
        <f t="shared" ca="1" si="21"/>
        <v>80.674858096828046</v>
      </c>
      <c r="W475" s="3">
        <f t="shared" si="22"/>
        <v>16590</v>
      </c>
      <c r="X475" s="3">
        <f t="shared" ca="1" si="23"/>
        <v>46056</v>
      </c>
    </row>
    <row r="476" spans="1:24"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5">
        <v>421142267938</v>
      </c>
      <c r="R476">
        <v>77.8</v>
      </c>
      <c r="S476">
        <v>0.1</v>
      </c>
      <c r="T476">
        <v>15.9</v>
      </c>
      <c r="U476">
        <v>9770529</v>
      </c>
      <c r="V476">
        <f t="shared" ca="1" si="21"/>
        <v>70.220396988364129</v>
      </c>
      <c r="W476" s="3">
        <f t="shared" si="22"/>
        <v>20408</v>
      </c>
      <c r="X476" s="3">
        <f t="shared" ca="1" si="23"/>
        <v>46056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64FB-2DE9-4EB5-9DFE-AC1CEC461F31}">
  <dimension ref="A1:V15"/>
  <sheetViews>
    <sheetView tabSelected="1" topLeftCell="L1" workbookViewId="0">
      <selection activeCell="K19" sqref="K19"/>
    </sheetView>
  </sheetViews>
  <sheetFormatPr defaultRowHeight="15.6" x14ac:dyDescent="0.3"/>
  <cols>
    <col min="1" max="1" width="17.19921875" bestFit="1" customWidth="1"/>
    <col min="2" max="2" width="11.8984375" bestFit="1" customWidth="1"/>
    <col min="3" max="3" width="17.19921875" bestFit="1" customWidth="1"/>
    <col min="4" max="4" width="12.5" bestFit="1" customWidth="1"/>
    <col min="5" max="5" width="17.19921875" bestFit="1" customWidth="1"/>
    <col min="6" max="6" width="12.5" bestFit="1" customWidth="1"/>
    <col min="7" max="7" width="17.19921875" bestFit="1" customWidth="1"/>
    <col min="8" max="8" width="12.5" bestFit="1" customWidth="1"/>
    <col min="9" max="9" width="17.19921875" bestFit="1" customWidth="1"/>
    <col min="10" max="10" width="11.8984375" bestFit="1" customWidth="1"/>
    <col min="11" max="11" width="17.19921875" bestFit="1" customWidth="1"/>
    <col min="12" max="12" width="25.3984375" customWidth="1"/>
    <col min="13" max="13" width="21.59765625" bestFit="1" customWidth="1"/>
    <col min="14" max="14" width="12.5" bestFit="1" customWidth="1"/>
    <col min="15" max="15" width="26.296875" bestFit="1" customWidth="1"/>
    <col min="16" max="16" width="11.8984375" bestFit="1" customWidth="1"/>
    <col min="17" max="17" width="20.69921875" bestFit="1" customWidth="1"/>
    <col min="18" max="18" width="11.8984375" bestFit="1" customWidth="1"/>
    <col min="19" max="19" width="17.5" bestFit="1" customWidth="1"/>
    <col min="20" max="20" width="11.8984375" bestFit="1" customWidth="1"/>
    <col min="21" max="21" width="17.19921875" bestFit="1" customWidth="1"/>
    <col min="22" max="22" width="12.5" bestFit="1" customWidth="1"/>
  </cols>
  <sheetData>
    <row r="1" spans="1:22" x14ac:dyDescent="0.3">
      <c r="A1" s="7" t="s">
        <v>1</v>
      </c>
      <c r="B1" s="7"/>
      <c r="C1" s="7" t="s">
        <v>12</v>
      </c>
      <c r="D1" s="7"/>
      <c r="E1" s="7" t="s">
        <v>13</v>
      </c>
      <c r="F1" s="7"/>
      <c r="G1" s="7" t="s">
        <v>14</v>
      </c>
      <c r="H1" s="7"/>
      <c r="I1" s="7" t="s">
        <v>15</v>
      </c>
      <c r="J1" s="7"/>
      <c r="K1" s="7" t="s">
        <v>16</v>
      </c>
      <c r="L1" s="7"/>
      <c r="M1" s="7" t="s">
        <v>17</v>
      </c>
      <c r="N1" s="7"/>
      <c r="O1" s="7" t="s">
        <v>18</v>
      </c>
      <c r="P1" s="7"/>
      <c r="Q1" s="7" t="s">
        <v>19</v>
      </c>
      <c r="R1" s="7"/>
      <c r="S1" s="7" t="s">
        <v>20</v>
      </c>
      <c r="T1" s="7"/>
      <c r="U1" s="7" t="s">
        <v>1799</v>
      </c>
      <c r="V1" s="7"/>
    </row>
    <row r="3" spans="1:22" x14ac:dyDescent="0.3">
      <c r="A3" t="s">
        <v>1801</v>
      </c>
      <c r="B3">
        <v>14821.894736842105</v>
      </c>
      <c r="C3" t="s">
        <v>1801</v>
      </c>
      <c r="D3">
        <v>1955.1073684210526</v>
      </c>
      <c r="E3" t="s">
        <v>1801</v>
      </c>
      <c r="F3">
        <v>5.8863157894736844</v>
      </c>
      <c r="G3" t="s">
        <v>1801</v>
      </c>
      <c r="H3">
        <v>13.063157894736841</v>
      </c>
      <c r="I3" t="s">
        <v>1801</v>
      </c>
      <c r="J3">
        <v>124.63644210526323</v>
      </c>
      <c r="K3" t="s">
        <v>1801</v>
      </c>
      <c r="L3">
        <v>12426195815316.264</v>
      </c>
      <c r="M3" t="s">
        <v>1801</v>
      </c>
      <c r="N3">
        <v>78.358315789473693</v>
      </c>
      <c r="O3" t="s">
        <v>1801</v>
      </c>
      <c r="P3">
        <v>12.719368421052652</v>
      </c>
      <c r="Q3" t="s">
        <v>1801</v>
      </c>
      <c r="R3">
        <v>42.056421052631599</v>
      </c>
      <c r="S3" t="s">
        <v>1801</v>
      </c>
      <c r="T3">
        <v>429352798.16000003</v>
      </c>
      <c r="U3" t="s">
        <v>1801</v>
      </c>
      <c r="V3">
        <v>70.545239777510403</v>
      </c>
    </row>
    <row r="4" spans="1:22" x14ac:dyDescent="0.3">
      <c r="A4" t="s">
        <v>1802</v>
      </c>
      <c r="B4">
        <v>915.05728495730762</v>
      </c>
      <c r="C4" t="s">
        <v>1802</v>
      </c>
      <c r="D4">
        <v>0.60964752546853729</v>
      </c>
      <c r="E4" t="s">
        <v>1802</v>
      </c>
      <c r="F4">
        <v>0.16318859539374939</v>
      </c>
      <c r="G4" t="s">
        <v>1802</v>
      </c>
      <c r="H4">
        <v>0.44731342165609528</v>
      </c>
      <c r="I4" t="s">
        <v>1802</v>
      </c>
      <c r="J4">
        <v>1.1309202808822196</v>
      </c>
      <c r="K4" t="s">
        <v>1802</v>
      </c>
      <c r="L4">
        <v>441174628973.72961</v>
      </c>
      <c r="M4" t="s">
        <v>1802</v>
      </c>
      <c r="N4">
        <v>0.17743420962673864</v>
      </c>
      <c r="O4" t="s">
        <v>1802</v>
      </c>
      <c r="P4">
        <v>0.28229872220156371</v>
      </c>
      <c r="Q4" t="s">
        <v>1802</v>
      </c>
      <c r="R4">
        <v>0.52035395082224922</v>
      </c>
      <c r="S4" t="s">
        <v>1802</v>
      </c>
      <c r="T4">
        <v>22526024.244541854</v>
      </c>
      <c r="U4" t="s">
        <v>1802</v>
      </c>
      <c r="V4">
        <v>0.60959621927224861</v>
      </c>
    </row>
    <row r="5" spans="1:22" x14ac:dyDescent="0.3">
      <c r="A5" t="s">
        <v>1803</v>
      </c>
      <c r="B5">
        <v>8200</v>
      </c>
      <c r="C5" t="s">
        <v>1803</v>
      </c>
      <c r="D5">
        <v>1955</v>
      </c>
      <c r="E5" t="s">
        <v>1803</v>
      </c>
      <c r="F5">
        <v>6</v>
      </c>
      <c r="G5" t="s">
        <v>1803</v>
      </c>
      <c r="H5">
        <v>12</v>
      </c>
      <c r="I5" t="s">
        <v>1803</v>
      </c>
      <c r="J5">
        <v>117.24</v>
      </c>
      <c r="K5" t="s">
        <v>1803</v>
      </c>
      <c r="L5">
        <v>19910000000000</v>
      </c>
      <c r="M5" t="s">
        <v>1803</v>
      </c>
      <c r="N5">
        <v>78.5</v>
      </c>
      <c r="O5" t="s">
        <v>1803</v>
      </c>
      <c r="P5">
        <v>9.6</v>
      </c>
      <c r="Q5" t="s">
        <v>1803</v>
      </c>
      <c r="R5">
        <v>36.6</v>
      </c>
      <c r="S5" t="s">
        <v>1803</v>
      </c>
      <c r="T5">
        <v>328239523</v>
      </c>
      <c r="U5" t="s">
        <v>1803</v>
      </c>
      <c r="V5">
        <v>70.483230663928822</v>
      </c>
    </row>
    <row r="6" spans="1:22" x14ac:dyDescent="0.3">
      <c r="A6" t="s">
        <v>1804</v>
      </c>
      <c r="B6">
        <v>6700</v>
      </c>
      <c r="C6" t="s">
        <v>1804</v>
      </c>
      <c r="D6">
        <v>1964</v>
      </c>
      <c r="E6" t="s">
        <v>1804</v>
      </c>
      <c r="F6">
        <v>1</v>
      </c>
      <c r="G6" t="s">
        <v>1804</v>
      </c>
      <c r="H6">
        <v>1</v>
      </c>
      <c r="I6" t="s">
        <v>1804</v>
      </c>
      <c r="J6">
        <v>117.24</v>
      </c>
      <c r="K6" t="s">
        <v>1804</v>
      </c>
      <c r="L6">
        <v>21427700000000</v>
      </c>
      <c r="M6" t="s">
        <v>1804</v>
      </c>
      <c r="N6">
        <v>78.5</v>
      </c>
      <c r="O6" t="s">
        <v>1804</v>
      </c>
      <c r="P6">
        <v>9.6</v>
      </c>
      <c r="Q6" t="s">
        <v>1804</v>
      </c>
      <c r="R6">
        <v>36.6</v>
      </c>
      <c r="S6" t="s">
        <v>1804</v>
      </c>
      <c r="T6">
        <v>328239523</v>
      </c>
      <c r="U6" t="s">
        <v>1804</v>
      </c>
      <c r="V6">
        <v>62.091043414019381</v>
      </c>
    </row>
    <row r="7" spans="1:22" x14ac:dyDescent="0.3">
      <c r="A7" t="s">
        <v>1805</v>
      </c>
      <c r="B7">
        <v>19943.211163398028</v>
      </c>
      <c r="C7" t="s">
        <v>1805</v>
      </c>
      <c r="D7">
        <v>13.286959773484966</v>
      </c>
      <c r="E7" t="s">
        <v>1805</v>
      </c>
      <c r="F7">
        <v>3.5566129802985036</v>
      </c>
      <c r="G7" t="s">
        <v>1805</v>
      </c>
      <c r="H7">
        <v>9.7489700054415884</v>
      </c>
      <c r="I7" t="s">
        <v>1805</v>
      </c>
      <c r="J7">
        <v>24.647836087831148</v>
      </c>
      <c r="K7" t="s">
        <v>1805</v>
      </c>
      <c r="L7">
        <v>9615178120752.6934</v>
      </c>
      <c r="M7" t="s">
        <v>1805</v>
      </c>
      <c r="N7">
        <v>3.8670889444498275</v>
      </c>
      <c r="O7" t="s">
        <v>1805</v>
      </c>
      <c r="P7">
        <v>6.1525580098363912</v>
      </c>
      <c r="Q7" t="s">
        <v>1805</v>
      </c>
      <c r="R7">
        <v>11.340851432531588</v>
      </c>
      <c r="S7" t="s">
        <v>1805</v>
      </c>
      <c r="T7">
        <v>490943316.40852547</v>
      </c>
      <c r="U7" t="s">
        <v>1805</v>
      </c>
      <c r="V7">
        <v>13.285841580860968</v>
      </c>
    </row>
    <row r="8" spans="1:22" x14ac:dyDescent="0.3">
      <c r="A8" t="s">
        <v>1806</v>
      </c>
      <c r="B8">
        <v>397731671.50788367</v>
      </c>
      <c r="C8" t="s">
        <v>1806</v>
      </c>
      <c r="D8">
        <v>176.54330002220766</v>
      </c>
      <c r="E8" t="s">
        <v>1806</v>
      </c>
      <c r="F8">
        <v>12.649495891627803</v>
      </c>
      <c r="G8" t="s">
        <v>1806</v>
      </c>
      <c r="H8">
        <v>95.042416166999772</v>
      </c>
      <c r="I8" t="s">
        <v>1806</v>
      </c>
      <c r="J8">
        <v>607.51582381259141</v>
      </c>
      <c r="K8" t="s">
        <v>1806</v>
      </c>
      <c r="L8">
        <v>9.2451650293801309E+25</v>
      </c>
      <c r="M8" t="s">
        <v>1806</v>
      </c>
      <c r="N8">
        <v>14.954376904286082</v>
      </c>
      <c r="O8" t="s">
        <v>1806</v>
      </c>
      <c r="P8">
        <v>37.853970064401935</v>
      </c>
      <c r="Q8" t="s">
        <v>1806</v>
      </c>
      <c r="R8">
        <v>128.61491121475379</v>
      </c>
      <c r="S8" t="s">
        <v>1806</v>
      </c>
      <c r="T8">
        <v>2.4102533992620154E+17</v>
      </c>
      <c r="U8" t="s">
        <v>1806</v>
      </c>
      <c r="V8">
        <v>176.51358651173427</v>
      </c>
    </row>
    <row r="9" spans="1:22" x14ac:dyDescent="0.3">
      <c r="A9" t="s">
        <v>1807</v>
      </c>
      <c r="B9">
        <v>34.182611944135424</v>
      </c>
      <c r="C9" t="s">
        <v>1807</v>
      </c>
      <c r="D9">
        <v>-0.44339202271086986</v>
      </c>
      <c r="E9" t="s">
        <v>1807</v>
      </c>
      <c r="F9">
        <v>-1.2948846253259103</v>
      </c>
      <c r="G9" t="s">
        <v>1807</v>
      </c>
      <c r="H9">
        <v>-1.2882866459622426</v>
      </c>
      <c r="I9" t="s">
        <v>1807</v>
      </c>
      <c r="J9">
        <v>14.969591625825194</v>
      </c>
      <c r="K9" t="s">
        <v>1807</v>
      </c>
      <c r="L9">
        <v>-1.9173646589606008</v>
      </c>
      <c r="M9" t="s">
        <v>1807</v>
      </c>
      <c r="N9">
        <v>9.4081487353996529</v>
      </c>
      <c r="O9" t="s">
        <v>1807</v>
      </c>
      <c r="P9">
        <v>1.3298645975053689</v>
      </c>
      <c r="Q9" t="s">
        <v>1807</v>
      </c>
      <c r="R9">
        <v>-0.78535606952345471</v>
      </c>
      <c r="S9" t="s">
        <v>1807</v>
      </c>
      <c r="T9">
        <v>5.1729365975950348E-2</v>
      </c>
      <c r="U9" t="s">
        <v>1807</v>
      </c>
      <c r="V9">
        <v>-0.43814105986407048</v>
      </c>
    </row>
    <row r="10" spans="1:22" x14ac:dyDescent="0.3">
      <c r="A10" t="s">
        <v>1808</v>
      </c>
      <c r="B10">
        <v>5.0265705828228562</v>
      </c>
      <c r="C10" t="s">
        <v>1808</v>
      </c>
      <c r="D10">
        <v>0.12249927472149394</v>
      </c>
      <c r="E10" t="s">
        <v>1808</v>
      </c>
      <c r="F10">
        <v>6.1012095348729464E-2</v>
      </c>
      <c r="G10" t="s">
        <v>1808</v>
      </c>
      <c r="H10">
        <v>0.22457452046808007</v>
      </c>
      <c r="I10" t="s">
        <v>1808</v>
      </c>
      <c r="J10">
        <v>3.4668002006083132</v>
      </c>
      <c r="K10" t="s">
        <v>1808</v>
      </c>
      <c r="L10">
        <v>-0.22993289038402898</v>
      </c>
      <c r="M10" t="s">
        <v>1808</v>
      </c>
      <c r="N10">
        <v>-2.1553095031055305</v>
      </c>
      <c r="O10" t="s">
        <v>1808</v>
      </c>
      <c r="P10">
        <v>1.4692122796648146</v>
      </c>
      <c r="Q10" t="s">
        <v>1808</v>
      </c>
      <c r="R10">
        <v>0.271850332451748</v>
      </c>
      <c r="S10" t="s">
        <v>1808</v>
      </c>
      <c r="T10">
        <v>1.2987475637233723</v>
      </c>
      <c r="U10" t="s">
        <v>1808</v>
      </c>
      <c r="V10">
        <v>-0.12171585698361136</v>
      </c>
    </row>
    <row r="11" spans="1:22" x14ac:dyDescent="0.3">
      <c r="A11" t="s">
        <v>1809</v>
      </c>
      <c r="B11">
        <v>205700</v>
      </c>
      <c r="C11" t="s">
        <v>1809</v>
      </c>
      <c r="D11">
        <v>66</v>
      </c>
      <c r="E11" t="s">
        <v>1809</v>
      </c>
      <c r="F11">
        <v>11</v>
      </c>
      <c r="G11" t="s">
        <v>1809</v>
      </c>
      <c r="H11">
        <v>30</v>
      </c>
      <c r="I11" t="s">
        <v>1809</v>
      </c>
      <c r="J11">
        <v>189.01999999999998</v>
      </c>
      <c r="K11" t="s">
        <v>1809</v>
      </c>
      <c r="L11">
        <v>21273918930882</v>
      </c>
      <c r="M11" t="s">
        <v>1809</v>
      </c>
      <c r="N11">
        <v>29.900000000000006</v>
      </c>
      <c r="O11" t="s">
        <v>1809</v>
      </c>
      <c r="P11">
        <v>32.299999999999997</v>
      </c>
      <c r="Q11" t="s">
        <v>1809</v>
      </c>
      <c r="R11">
        <v>55.300000000000004</v>
      </c>
      <c r="S11" t="s">
        <v>1809</v>
      </c>
      <c r="T11">
        <v>1392874000</v>
      </c>
      <c r="U11" t="s">
        <v>1809</v>
      </c>
      <c r="V11">
        <v>65.81105392397177</v>
      </c>
    </row>
    <row r="12" spans="1:22" x14ac:dyDescent="0.3">
      <c r="A12" t="s">
        <v>1810</v>
      </c>
      <c r="B12">
        <v>5300</v>
      </c>
      <c r="C12" t="s">
        <v>1810</v>
      </c>
      <c r="D12">
        <v>1926</v>
      </c>
      <c r="E12" t="s">
        <v>1810</v>
      </c>
      <c r="F12">
        <v>1</v>
      </c>
      <c r="G12" t="s">
        <v>1810</v>
      </c>
      <c r="H12">
        <v>1</v>
      </c>
      <c r="I12" t="s">
        <v>1810</v>
      </c>
      <c r="J12">
        <v>99.55</v>
      </c>
      <c r="K12" t="s">
        <v>1810</v>
      </c>
      <c r="L12">
        <v>153781069118</v>
      </c>
      <c r="M12" t="s">
        <v>1810</v>
      </c>
      <c r="N12">
        <v>54.3</v>
      </c>
      <c r="O12" t="s">
        <v>1810</v>
      </c>
      <c r="P12">
        <v>0.1</v>
      </c>
      <c r="Q12" t="s">
        <v>1810</v>
      </c>
      <c r="R12">
        <v>15.9</v>
      </c>
      <c r="S12" t="s">
        <v>1810</v>
      </c>
      <c r="T12">
        <v>4841000</v>
      </c>
      <c r="U12" t="s">
        <v>1810</v>
      </c>
      <c r="V12">
        <v>33.743351063829785</v>
      </c>
    </row>
    <row r="13" spans="1:22" x14ac:dyDescent="0.3">
      <c r="A13" t="s">
        <v>1811</v>
      </c>
      <c r="B13">
        <v>211000</v>
      </c>
      <c r="C13" t="s">
        <v>1811</v>
      </c>
      <c r="D13">
        <v>1992</v>
      </c>
      <c r="E13" t="s">
        <v>1811</v>
      </c>
      <c r="F13">
        <v>12</v>
      </c>
      <c r="G13" t="s">
        <v>1811</v>
      </c>
      <c r="H13">
        <v>31</v>
      </c>
      <c r="I13" t="s">
        <v>1811</v>
      </c>
      <c r="J13">
        <v>288.57</v>
      </c>
      <c r="K13" t="s">
        <v>1811</v>
      </c>
      <c r="L13">
        <v>21427700000000</v>
      </c>
      <c r="M13" t="s">
        <v>1811</v>
      </c>
      <c r="N13">
        <v>84.2</v>
      </c>
      <c r="O13" t="s">
        <v>1811</v>
      </c>
      <c r="P13">
        <v>32.4</v>
      </c>
      <c r="Q13" t="s">
        <v>1811</v>
      </c>
      <c r="R13">
        <v>71.2</v>
      </c>
      <c r="S13" t="s">
        <v>1811</v>
      </c>
      <c r="T13">
        <v>1397715000</v>
      </c>
      <c r="U13" t="s">
        <v>1811</v>
      </c>
      <c r="V13">
        <v>99.554404987801561</v>
      </c>
    </row>
    <row r="14" spans="1:22" x14ac:dyDescent="0.3">
      <c r="A14" t="s">
        <v>1812</v>
      </c>
      <c r="B14">
        <v>7040400</v>
      </c>
      <c r="C14" t="s">
        <v>1812</v>
      </c>
      <c r="D14">
        <v>928676</v>
      </c>
      <c r="E14" t="s">
        <v>1812</v>
      </c>
      <c r="F14">
        <v>2796</v>
      </c>
      <c r="G14" t="s">
        <v>1812</v>
      </c>
      <c r="H14">
        <v>6205</v>
      </c>
      <c r="I14" t="s">
        <v>1812</v>
      </c>
      <c r="J14">
        <v>59202.310000000034</v>
      </c>
      <c r="K14" t="s">
        <v>1812</v>
      </c>
      <c r="L14">
        <v>5902443012275225</v>
      </c>
      <c r="M14" t="s">
        <v>1812</v>
      </c>
      <c r="N14">
        <v>37220.200000000004</v>
      </c>
      <c r="O14" t="s">
        <v>1812</v>
      </c>
      <c r="P14">
        <v>6041.7000000000098</v>
      </c>
      <c r="Q14" t="s">
        <v>1812</v>
      </c>
      <c r="R14">
        <v>19976.80000000001</v>
      </c>
      <c r="S14" t="s">
        <v>1812</v>
      </c>
      <c r="T14">
        <v>203942579126</v>
      </c>
      <c r="U14" t="s">
        <v>1812</v>
      </c>
      <c r="V14">
        <v>33508.988894317445</v>
      </c>
    </row>
    <row r="15" spans="1:22" ht="16.2" thickBot="1" x14ac:dyDescent="0.35">
      <c r="A15" s="6" t="s">
        <v>1813</v>
      </c>
      <c r="B15" s="6">
        <v>475</v>
      </c>
      <c r="C15" s="6" t="s">
        <v>1813</v>
      </c>
      <c r="D15" s="6">
        <v>475</v>
      </c>
      <c r="E15" s="6" t="s">
        <v>1813</v>
      </c>
      <c r="F15" s="6">
        <v>475</v>
      </c>
      <c r="G15" s="6" t="s">
        <v>1813</v>
      </c>
      <c r="H15" s="6">
        <v>475</v>
      </c>
      <c r="I15" s="6" t="s">
        <v>1813</v>
      </c>
      <c r="J15" s="6">
        <v>475</v>
      </c>
      <c r="K15" s="6" t="s">
        <v>1813</v>
      </c>
      <c r="L15" s="6">
        <v>475</v>
      </c>
      <c r="M15" s="6" t="s">
        <v>1813</v>
      </c>
      <c r="N15" s="6">
        <v>475</v>
      </c>
      <c r="O15" s="6" t="s">
        <v>1813</v>
      </c>
      <c r="P15" s="6">
        <v>475</v>
      </c>
      <c r="Q15" s="6" t="s">
        <v>1813</v>
      </c>
      <c r="R15" s="6">
        <v>475</v>
      </c>
      <c r="S15" s="6" t="s">
        <v>1813</v>
      </c>
      <c r="T15" s="6">
        <v>475</v>
      </c>
      <c r="U15" s="6" t="s">
        <v>1813</v>
      </c>
      <c r="V15" s="6">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9BE34-E385-4633-A834-D0CF81F97DA1}">
  <dimension ref="D2:E68"/>
  <sheetViews>
    <sheetView topLeftCell="A12" zoomScale="89" zoomScaleNormal="110" workbookViewId="0">
      <selection activeCell="D2" sqref="D2"/>
    </sheetView>
  </sheetViews>
  <sheetFormatPr defaultRowHeight="15.6" x14ac:dyDescent="0.3"/>
  <cols>
    <col min="4" max="4" width="19.09765625" bestFit="1" customWidth="1"/>
    <col min="5" max="5" width="18.8984375" bestFit="1" customWidth="1"/>
    <col min="6" max="6" width="6.8984375" bestFit="1" customWidth="1"/>
    <col min="7" max="7" width="7.59765625" bestFit="1" customWidth="1"/>
    <col min="8" max="8" width="5.5" bestFit="1" customWidth="1"/>
    <col min="9" max="9" width="7.19921875" bestFit="1" customWidth="1"/>
    <col min="10" max="10" width="5.09765625" bestFit="1" customWidth="1"/>
    <col min="11" max="11" width="5.69921875" bestFit="1" customWidth="1"/>
    <col min="12" max="12" width="8.8984375" bestFit="1" customWidth="1"/>
    <col min="13" max="13" width="13.5" bestFit="1" customWidth="1"/>
    <col min="14" max="14" width="8.59765625" bestFit="1" customWidth="1"/>
    <col min="15" max="15" width="5.5" bestFit="1" customWidth="1"/>
    <col min="16" max="16" width="6.3984375" bestFit="1" customWidth="1"/>
    <col min="17" max="17" width="8.5" bestFit="1" customWidth="1"/>
    <col min="18" max="18" width="5.09765625" bestFit="1" customWidth="1"/>
    <col min="19" max="19" width="9.09765625" bestFit="1" customWidth="1"/>
    <col min="20" max="20" width="5.3984375" bestFit="1" customWidth="1"/>
    <col min="21" max="21" width="4.5" bestFit="1" customWidth="1"/>
    <col min="22" max="22" width="5.796875" bestFit="1" customWidth="1"/>
    <col min="23" max="23" width="8.296875" bestFit="1" customWidth="1"/>
    <col min="24" max="24" width="6.8984375" bestFit="1" customWidth="1"/>
    <col min="25" max="25" width="11.19921875" bestFit="1" customWidth="1"/>
    <col min="26" max="26" width="11.8984375" bestFit="1" customWidth="1"/>
    <col min="27" max="27" width="6.796875" bestFit="1" customWidth="1"/>
    <col min="28" max="28" width="7.3984375" bestFit="1" customWidth="1"/>
    <col min="29" max="29" width="10.19921875" bestFit="1" customWidth="1"/>
    <col min="30" max="30" width="6.796875" bestFit="1" customWidth="1"/>
    <col min="31" max="31" width="6.19921875" bestFit="1" customWidth="1"/>
    <col min="32" max="32" width="9.19921875" bestFit="1" customWidth="1"/>
    <col min="33" max="33" width="11.09765625" bestFit="1" customWidth="1"/>
    <col min="34" max="34" width="11.19921875" bestFit="1" customWidth="1"/>
    <col min="35" max="35" width="5.5" bestFit="1" customWidth="1"/>
    <col min="36" max="36" width="7.5" bestFit="1" customWidth="1"/>
    <col min="37" max="37" width="10.69921875" bestFit="1" customWidth="1"/>
    <col min="38" max="38" width="8.19921875" bestFit="1" customWidth="1"/>
    <col min="39" max="39" width="6.59765625" bestFit="1" customWidth="1"/>
    <col min="40" max="40" width="7.5" bestFit="1" customWidth="1"/>
    <col min="41" max="41" width="19.09765625" bestFit="1" customWidth="1"/>
    <col min="42" max="42" width="14.59765625" bestFit="1" customWidth="1"/>
    <col min="43" max="43" width="12.19921875" bestFit="1" customWidth="1"/>
    <col min="44" max="44" width="10.8984375" bestFit="1" customWidth="1"/>
  </cols>
  <sheetData>
    <row r="2" spans="4:5" x14ac:dyDescent="0.3">
      <c r="D2" t="s">
        <v>1817</v>
      </c>
    </row>
    <row r="3" spans="4:5" x14ac:dyDescent="0.3">
      <c r="D3" s="8" t="s">
        <v>1815</v>
      </c>
      <c r="E3" t="s">
        <v>1829</v>
      </c>
    </row>
    <row r="4" spans="4:5" x14ac:dyDescent="0.3">
      <c r="D4" s="9" t="s">
        <v>22</v>
      </c>
      <c r="E4">
        <v>211000</v>
      </c>
    </row>
    <row r="5" spans="4:5" x14ac:dyDescent="0.3">
      <c r="D5" s="9" t="s">
        <v>31</v>
      </c>
      <c r="E5">
        <v>180000</v>
      </c>
    </row>
    <row r="6" spans="4:5" x14ac:dyDescent="0.3">
      <c r="D6" s="9" t="s">
        <v>39</v>
      </c>
      <c r="E6">
        <v>114000</v>
      </c>
    </row>
    <row r="7" spans="4:5" x14ac:dyDescent="0.3">
      <c r="D7" s="9" t="s">
        <v>44</v>
      </c>
      <c r="E7">
        <v>107000</v>
      </c>
    </row>
    <row r="8" spans="4:5" x14ac:dyDescent="0.3">
      <c r="D8" s="9" t="s">
        <v>50</v>
      </c>
      <c r="E8">
        <v>106000</v>
      </c>
    </row>
    <row r="9" spans="4:5" x14ac:dyDescent="0.3">
      <c r="D9" s="9" t="s">
        <v>55</v>
      </c>
      <c r="E9">
        <v>104000</v>
      </c>
    </row>
    <row r="10" spans="4:5" x14ac:dyDescent="0.3">
      <c r="D10" s="9" t="s">
        <v>60</v>
      </c>
      <c r="E10">
        <v>94500</v>
      </c>
    </row>
    <row r="11" spans="4:5" x14ac:dyDescent="0.3">
      <c r="D11" s="9" t="s">
        <v>66</v>
      </c>
      <c r="E11">
        <v>93000</v>
      </c>
    </row>
    <row r="12" spans="4:5" x14ac:dyDescent="0.3">
      <c r="D12" s="9" t="s">
        <v>73</v>
      </c>
      <c r="E12">
        <v>83400</v>
      </c>
    </row>
    <row r="13" spans="4:5" x14ac:dyDescent="0.3">
      <c r="D13" s="9" t="s">
        <v>79</v>
      </c>
      <c r="E13">
        <v>80700</v>
      </c>
    </row>
    <row r="14" spans="4:5" x14ac:dyDescent="0.3">
      <c r="D14" s="9" t="s">
        <v>1816</v>
      </c>
      <c r="E14">
        <v>1173600</v>
      </c>
    </row>
    <row r="16" spans="4:5" x14ac:dyDescent="0.3">
      <c r="D16" s="9" t="s">
        <v>1818</v>
      </c>
    </row>
    <row r="17" spans="4:5" x14ac:dyDescent="0.3">
      <c r="D17" s="8" t="s">
        <v>1815</v>
      </c>
      <c r="E17" t="s">
        <v>1828</v>
      </c>
    </row>
    <row r="18" spans="4:5" x14ac:dyDescent="0.3">
      <c r="D18" s="9" t="s">
        <v>1819</v>
      </c>
      <c r="E18">
        <v>4</v>
      </c>
    </row>
    <row r="19" spans="4:5" x14ac:dyDescent="0.3">
      <c r="D19" s="9" t="s">
        <v>1820</v>
      </c>
      <c r="E19">
        <v>25</v>
      </c>
    </row>
    <row r="20" spans="4:5" x14ac:dyDescent="0.3">
      <c r="D20" s="9" t="s">
        <v>1821</v>
      </c>
      <c r="E20">
        <v>72</v>
      </c>
    </row>
    <row r="21" spans="4:5" x14ac:dyDescent="0.3">
      <c r="D21" s="9" t="s">
        <v>1822</v>
      </c>
      <c r="E21">
        <v>126</v>
      </c>
    </row>
    <row r="22" spans="4:5" x14ac:dyDescent="0.3">
      <c r="D22" s="9" t="s">
        <v>1823</v>
      </c>
      <c r="E22">
        <v>117</v>
      </c>
    </row>
    <row r="23" spans="4:5" x14ac:dyDescent="0.3">
      <c r="D23" s="9" t="s">
        <v>1824</v>
      </c>
      <c r="E23">
        <v>97</v>
      </c>
    </row>
    <row r="24" spans="4:5" x14ac:dyDescent="0.3">
      <c r="D24" s="9" t="s">
        <v>1825</v>
      </c>
      <c r="E24">
        <v>34</v>
      </c>
    </row>
    <row r="25" spans="4:5" x14ac:dyDescent="0.3">
      <c r="D25" s="9" t="s">
        <v>1816</v>
      </c>
      <c r="E25">
        <v>475</v>
      </c>
    </row>
    <row r="27" spans="4:5" x14ac:dyDescent="0.3">
      <c r="D27" s="9" t="s">
        <v>1826</v>
      </c>
    </row>
    <row r="28" spans="4:5" x14ac:dyDescent="0.3">
      <c r="D28" s="8" t="s">
        <v>1815</v>
      </c>
      <c r="E28" t="s">
        <v>1827</v>
      </c>
    </row>
    <row r="29" spans="4:5" x14ac:dyDescent="0.3">
      <c r="D29" s="9" t="s">
        <v>274</v>
      </c>
      <c r="E29">
        <v>8</v>
      </c>
    </row>
    <row r="30" spans="4:5" x14ac:dyDescent="0.3">
      <c r="D30" s="9" t="s">
        <v>208</v>
      </c>
      <c r="E30">
        <v>5</v>
      </c>
    </row>
    <row r="31" spans="4:5" x14ac:dyDescent="0.3">
      <c r="D31" s="9" t="s">
        <v>177</v>
      </c>
      <c r="E31">
        <v>1</v>
      </c>
    </row>
    <row r="32" spans="4:5" x14ac:dyDescent="0.3">
      <c r="D32" s="9" t="s">
        <v>712</v>
      </c>
      <c r="E32">
        <v>1</v>
      </c>
    </row>
    <row r="33" spans="4:5" x14ac:dyDescent="0.3">
      <c r="D33" s="9" t="s">
        <v>133</v>
      </c>
      <c r="E33">
        <v>6</v>
      </c>
    </row>
    <row r="34" spans="4:5" x14ac:dyDescent="0.3">
      <c r="D34" s="9" t="s">
        <v>341</v>
      </c>
      <c r="E34">
        <v>1</v>
      </c>
    </row>
    <row r="35" spans="4:5" x14ac:dyDescent="0.3">
      <c r="D35" s="9" t="s">
        <v>105</v>
      </c>
      <c r="E35">
        <v>73</v>
      </c>
    </row>
    <row r="36" spans="4:5" x14ac:dyDescent="0.3">
      <c r="D36" s="9" t="s">
        <v>1474</v>
      </c>
      <c r="E36">
        <v>1</v>
      </c>
    </row>
    <row r="37" spans="4:5" x14ac:dyDescent="0.3">
      <c r="D37" s="9" t="s">
        <v>487</v>
      </c>
      <c r="E37">
        <v>3</v>
      </c>
    </row>
    <row r="38" spans="4:5" x14ac:dyDescent="0.3">
      <c r="D38" s="9" t="s">
        <v>1195</v>
      </c>
      <c r="E38">
        <v>6</v>
      </c>
    </row>
    <row r="39" spans="4:5" x14ac:dyDescent="0.3">
      <c r="D39" s="9" t="s">
        <v>1175</v>
      </c>
      <c r="E39">
        <v>1</v>
      </c>
    </row>
    <row r="40" spans="4:5" x14ac:dyDescent="0.3">
      <c r="D40" s="9" t="s">
        <v>23</v>
      </c>
      <c r="E40">
        <v>16</v>
      </c>
    </row>
    <row r="41" spans="4:5" x14ac:dyDescent="0.3">
      <c r="D41" s="9" t="s">
        <v>158</v>
      </c>
      <c r="E41">
        <v>20</v>
      </c>
    </row>
    <row r="42" spans="4:5" x14ac:dyDescent="0.3">
      <c r="D42" s="9" t="s">
        <v>74</v>
      </c>
      <c r="E42">
        <v>20</v>
      </c>
    </row>
    <row r="43" spans="4:5" x14ac:dyDescent="0.3">
      <c r="D43" s="9" t="s">
        <v>294</v>
      </c>
      <c r="E43">
        <v>4</v>
      </c>
    </row>
    <row r="44" spans="4:5" x14ac:dyDescent="0.3">
      <c r="D44" s="9" t="s">
        <v>665</v>
      </c>
      <c r="E44">
        <v>4</v>
      </c>
    </row>
    <row r="45" spans="4:5" x14ac:dyDescent="0.3">
      <c r="D45" s="9" t="s">
        <v>680</v>
      </c>
      <c r="E45">
        <v>7</v>
      </c>
    </row>
    <row r="46" spans="4:5" x14ac:dyDescent="0.3">
      <c r="D46" s="9" t="s">
        <v>219</v>
      </c>
      <c r="E46">
        <v>4</v>
      </c>
    </row>
    <row r="47" spans="4:5" x14ac:dyDescent="0.3">
      <c r="D47" s="9" t="s">
        <v>761</v>
      </c>
      <c r="E47">
        <v>1</v>
      </c>
    </row>
    <row r="48" spans="4:5" x14ac:dyDescent="0.3">
      <c r="D48" s="9" t="s">
        <v>67</v>
      </c>
      <c r="E48">
        <v>4</v>
      </c>
    </row>
    <row r="49" spans="4:5" x14ac:dyDescent="0.3">
      <c r="D49" s="9" t="s">
        <v>1511</v>
      </c>
      <c r="E49">
        <v>1</v>
      </c>
    </row>
    <row r="50" spans="4:5" x14ac:dyDescent="0.3">
      <c r="D50" s="9" t="s">
        <v>949</v>
      </c>
      <c r="E50">
        <v>1</v>
      </c>
    </row>
    <row r="51" spans="4:5" x14ac:dyDescent="0.3">
      <c r="D51" s="9" t="s">
        <v>565</v>
      </c>
      <c r="E51">
        <v>3</v>
      </c>
    </row>
    <row r="52" spans="4:5" x14ac:dyDescent="0.3">
      <c r="D52" s="9" t="s">
        <v>1117</v>
      </c>
      <c r="E52">
        <v>1</v>
      </c>
    </row>
    <row r="53" spans="4:5" x14ac:dyDescent="0.3">
      <c r="D53" s="9" t="s">
        <v>967</v>
      </c>
      <c r="E53">
        <v>2</v>
      </c>
    </row>
    <row r="54" spans="4:5" x14ac:dyDescent="0.3">
      <c r="D54" s="9" t="s">
        <v>1526</v>
      </c>
      <c r="E54">
        <v>1</v>
      </c>
    </row>
    <row r="55" spans="4:5" x14ac:dyDescent="0.3">
      <c r="D55" s="9" t="s">
        <v>327</v>
      </c>
      <c r="E55">
        <v>17</v>
      </c>
    </row>
    <row r="56" spans="4:5" x14ac:dyDescent="0.3">
      <c r="D56" s="9" t="s">
        <v>555</v>
      </c>
      <c r="E56">
        <v>7</v>
      </c>
    </row>
    <row r="57" spans="4:5" x14ac:dyDescent="0.3">
      <c r="D57" s="9" t="s">
        <v>686</v>
      </c>
      <c r="E57">
        <v>2</v>
      </c>
    </row>
    <row r="58" spans="4:5" x14ac:dyDescent="0.3">
      <c r="D58" s="9" t="s">
        <v>800</v>
      </c>
      <c r="E58">
        <v>3</v>
      </c>
    </row>
    <row r="59" spans="4:5" x14ac:dyDescent="0.3">
      <c r="D59" s="9" t="s">
        <v>93</v>
      </c>
      <c r="E59">
        <v>2</v>
      </c>
    </row>
    <row r="60" spans="4:5" x14ac:dyDescent="0.3">
      <c r="D60" s="9" t="s">
        <v>497</v>
      </c>
      <c r="E60">
        <v>6</v>
      </c>
    </row>
    <row r="61" spans="4:5" x14ac:dyDescent="0.3">
      <c r="D61" s="9" t="s">
        <v>170</v>
      </c>
      <c r="E61">
        <v>18</v>
      </c>
    </row>
    <row r="62" spans="4:5" x14ac:dyDescent="0.3">
      <c r="D62" s="9" t="s">
        <v>532</v>
      </c>
      <c r="E62">
        <v>5</v>
      </c>
    </row>
    <row r="63" spans="4:5" x14ac:dyDescent="0.3">
      <c r="D63" s="9" t="s">
        <v>1758</v>
      </c>
      <c r="E63">
        <v>1</v>
      </c>
    </row>
    <row r="64" spans="4:5" x14ac:dyDescent="0.3">
      <c r="D64" s="9" t="s">
        <v>1601</v>
      </c>
      <c r="E64">
        <v>1</v>
      </c>
    </row>
    <row r="65" spans="4:5" x14ac:dyDescent="0.3">
      <c r="D65" s="9" t="s">
        <v>306</v>
      </c>
      <c r="E65">
        <v>6</v>
      </c>
    </row>
    <row r="66" spans="4:5" x14ac:dyDescent="0.3">
      <c r="D66" s="9" t="s">
        <v>226</v>
      </c>
      <c r="E66">
        <v>22</v>
      </c>
    </row>
    <row r="67" spans="4:5" x14ac:dyDescent="0.3">
      <c r="D67" s="9" t="s">
        <v>32</v>
      </c>
      <c r="E67">
        <v>190</v>
      </c>
    </row>
    <row r="68" spans="4:5" x14ac:dyDescent="0.3">
      <c r="D68" s="9" t="s">
        <v>1816</v>
      </c>
      <c r="E68">
        <v>475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2606-3555-403C-84B0-8FC4D590F62E}">
  <dimension ref="A1:V482"/>
  <sheetViews>
    <sheetView zoomScale="107" workbookViewId="0"/>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Basic analysis</vt:lpstr>
      <vt:lpstr>Pivots</vt:lpstr>
      <vt:lpstr>Data 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Xhanti Jojo</cp:lastModifiedBy>
  <dcterms:created xsi:type="dcterms:W3CDTF">2024-04-01T06:54:26Z</dcterms:created>
  <dcterms:modified xsi:type="dcterms:W3CDTF">2026-02-02T23:43:53Z</dcterms:modified>
</cp:coreProperties>
</file>